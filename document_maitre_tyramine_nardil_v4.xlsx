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davidperron/Documents/Nardil tyramine/recherche documentaire/Data set brut et conso/"/>
    </mc:Choice>
  </mc:AlternateContent>
  <xr:revisionPtr revIDLastSave="0" documentId="8_{3C37F17E-10ED-2D4B-BA9C-97D15828B5E5}" xr6:coauthVersionLast="47" xr6:coauthVersionMax="47" xr10:uidLastSave="{00000000-0000-0000-0000-000000000000}"/>
  <bookViews>
    <workbookView xWindow="6580" yWindow="2900" windowWidth="16380" windowHeight="10980" tabRatio="500" activeTab="1" xr2:uid="{00000000-000D-0000-FFFF-FFFF00000000}"/>
  </bookViews>
  <sheets>
    <sheet name="Sommaire" sheetId="1" r:id="rId1"/>
    <sheet name="Aliments_consolide" sheetId="2" r:id="rId2"/>
    <sheet name="Seuils_cliniques" sheetId="3" r:id="rId3"/>
    <sheet name="Facteurs_algorithme" sheetId="4" r:id="rId4"/>
    <sheet name="Regles_alerte" sheetId="5" r:id="rId5"/>
    <sheet name="Wording_patient" sheetId="6" r:id="rId6"/>
    <sheet name="Methode_limitations" sheetId="7" r:id="rId7"/>
    <sheet name="Sources" sheetId="8" r:id="rId8"/>
    <sheet name="Signaux_majeurs" sheetId="9" r:id="rId9"/>
  </sheets>
  <definedNames>
    <definedName name="_xlnm._FilterDatabase" localSheetId="1" hidden="1">Aliments_consolide!$A$3:$W$341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341" i="2" l="1"/>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alcChain>
</file>

<file path=xl/sharedStrings.xml><?xml version="1.0" encoding="utf-8"?>
<sst xmlns="http://schemas.openxmlformats.org/spreadsheetml/2006/main" count="5343" uniqueCount="2441">
  <si>
    <t>Document maître — Tyramine sous Nardil (phénelzine) — v4</t>
  </si>
  <si>
    <t>Consolidation élargie : 338 entrées — couverture mondiale</t>
  </si>
  <si>
    <t>1. Aliments consolidé</t>
  </si>
  <si>
    <t>338 entrées — 23 colonnes incluant seuil_alerte et categorie_libelle_fda.</t>
  </si>
  <si>
    <t>→ Aliments_consolide</t>
  </si>
  <si>
    <t>2. Seuils cliniques</t>
  </si>
  <si>
    <t>Valeurs pharmacologiques phénelzine/tyramine.</t>
  </si>
  <si>
    <t>→ Seuils_cliniques</t>
  </si>
  <si>
    <t>3. Facteurs algorithme</t>
  </si>
  <si>
    <t>Pondérations dose/ancienneté/incertitude.</t>
  </si>
  <si>
    <t>→ Facteurs_algorithme</t>
  </si>
  <si>
    <t>4. Règles d'alerte</t>
  </si>
  <si>
    <t>Niveaux Noir/Rouge/Orange/Vert limité.</t>
  </si>
  <si>
    <t>→ Regles_alerte</t>
  </si>
  <si>
    <t>5. Wording patient</t>
  </si>
  <si>
    <t>Textes d'accueil, urgence, disclaimer, juridique.</t>
  </si>
  <si>
    <t>→ Wording_patient</t>
  </si>
  <si>
    <t>6. Méthode &amp; limitations</t>
  </si>
  <si>
    <t>Audit et questions ouvertes.</t>
  </si>
  <si>
    <t>→ Methode_limitations</t>
  </si>
  <si>
    <t>7. Sources</t>
  </si>
  <si>
    <t>URLs primaires consolidées.</t>
  </si>
  <si>
    <t>→ Sources</t>
  </si>
  <si>
    <t>8. Signaux cliniques majeurs</t>
  </si>
  <si>
    <t>10 points de vigilance critiques.</t>
  </si>
  <si>
    <t>→ Signaux_majeurs</t>
  </si>
  <si>
    <t>Règle de consolidation</t>
  </si>
  <si>
    <t>Consolidation à partir de trois sources : (1) CSV v2 à 69 entrées structurées ; (2) rapport de deep research initial apportant 8 entrées et des enrichissements ; (3) rapport de deep research élargi apportant 260+ entrées couvrant l'ensemble des régions mondiales. En cas de doublons, la valeur la plus complète prime. Les entrées de confiance D sans donnée quantitative directe sont marquées 'donnée manquante — prudence forte'.</t>
  </si>
  <si>
    <t>Avertissement</t>
  </si>
  <si>
    <t>Outil éducatif uniquement. Ce document n'est pas un dispositif médical et ne remplace pas le jugement d'un médecin, pharmacien ou service d'urgence. Les teneurs sont des estimations.</t>
  </si>
  <si>
    <t>Aliments consolidés — 338 entrées</t>
  </si>
  <si>
    <t>id</t>
  </si>
  <si>
    <t>nom_fr</t>
  </si>
  <si>
    <t>nom_ru_si_pertinent</t>
  </si>
  <si>
    <t>cuisine_region</t>
  </si>
  <si>
    <t>procede</t>
  </si>
  <si>
    <t>unite_base</t>
  </si>
  <si>
    <t>mg100_low</t>
  </si>
  <si>
    <t>mg100_typ</t>
  </si>
  <si>
    <t>mg100_high</t>
  </si>
  <si>
    <t>portion_standard</t>
  </si>
  <si>
    <t>mgportion_low</t>
  </si>
  <si>
    <t>mgportion_typ</t>
  </si>
  <si>
    <t>mgportion_high</t>
  </si>
  <si>
    <t>confiance</t>
  </si>
  <si>
    <t>note</t>
  </si>
  <si>
    <t>source_url</t>
  </si>
  <si>
    <t>alias_menu_restaurant</t>
  </si>
  <si>
    <t>artisanal_sensitive</t>
  </si>
  <si>
    <t>label_restricted</t>
  </si>
  <si>
    <t>variabilite</t>
  </si>
  <si>
    <t>note_complementaire_rapport</t>
  </si>
  <si>
    <t>categorie_libelle_fda</t>
  </si>
  <si>
    <t>seuil_alerte_par_portion</t>
  </si>
  <si>
    <t>TYR_001</t>
  </si>
  <si>
    <t>Fromages frais non affinés</t>
  </si>
  <si>
    <t>творог / свежий сыр</t>
  </si>
  <si>
    <t>Global laitier</t>
  </si>
  <si>
    <t>frais non affiné</t>
  </si>
  <si>
    <t>mg/100g</t>
  </si>
  <si>
    <t>100 g</t>
  </si>
  <si>
    <t>B</t>
  </si>
  <si>
    <t>quantitative</t>
  </si>
  <si>
    <t>https://psychotropical.com/wp-content/uploads/2017/12/MAOI_diet_drug_interactions_2016.pdf</t>
  </si>
  <si>
    <t>mozzarella fraîche, ricotta, queso fresco standardisé</t>
  </si>
  <si>
    <t>faible</t>
  </si>
  <si>
    <t>fresh cheese – not restricted</t>
  </si>
  <si>
    <t>VERT LIMITÉ</t>
  </si>
  <si>
    <t>TYR_002</t>
  </si>
  <si>
    <t>Yaourt nature</t>
  </si>
  <si>
    <t>йогурт</t>
  </si>
  <si>
    <t>fermenté standardisé</t>
  </si>
  <si>
    <t>125 g</t>
  </si>
  <si>
    <t>yogurt plain</t>
  </si>
  <si>
    <t>fermented dairy – low concern</t>
  </si>
  <si>
    <t>TYR_003</t>
  </si>
  <si>
    <t>Kéfir</t>
  </si>
  <si>
    <t>кефир</t>
  </si>
  <si>
    <t>Europe de l'Est / global</t>
  </si>
  <si>
    <t>fermenté laitier</t>
  </si>
  <si>
    <t>mg/100mL</t>
  </si>
  <si>
    <t>250 mL</t>
  </si>
  <si>
    <t>https://www.researchgate.net/publication/226101665_Biogenic_amine_content_of_kefir_A_fermented_dairy_product</t>
  </si>
  <si>
    <t>kefir</t>
  </si>
  <si>
    <t>modérée</t>
  </si>
  <si>
    <t>Revue dairy 2012 : BA totales 2,4-35,2 mg/L, tyramine prévalente mais sans chiffre tyramine exploitable.</t>
  </si>
  <si>
    <t>TYR_004</t>
  </si>
  <si>
    <t>Brie / Camembert</t>
  </si>
  <si>
    <t>бри / камамбер</t>
  </si>
  <si>
    <t>France / global</t>
  </si>
  <si>
    <t>affiné</t>
  </si>
  <si>
    <t>30 g</t>
  </si>
  <si>
    <t>C</t>
  </si>
  <si>
    <t>brie, camembert</t>
  </si>
  <si>
    <t>Données modernes (Mayer 2010) : brie/camembert commerciaux ≤ 0,15-0,3 mg/portion 30 g. Anciens outliers jusqu'à ~54 mg/30 g.</t>
  </si>
  <si>
    <t>aged/fermented cheeses</t>
  </si>
  <si>
    <t>NOIR</t>
  </si>
  <si>
    <t>TYR_005</t>
  </si>
  <si>
    <t>Cheddar affiné</t>
  </si>
  <si>
    <t>чеддер</t>
  </si>
  <si>
    <t>UK / global</t>
  </si>
  <si>
    <t>aged cheddar</t>
  </si>
  <si>
    <t>Jeunes cheddars &lt; 50 mg/kg; 36 semaines d'affinage &lt; 160 mg/kg. Anciennes valeurs très élevées probablement obsolètes.</t>
  </si>
  <si>
    <t>ORANGE</t>
  </si>
  <si>
    <t>TYR_006</t>
  </si>
  <si>
    <t>Gouda / Edam</t>
  </si>
  <si>
    <t>гауда / эдам</t>
  </si>
  <si>
    <t>Pays-Bas / global</t>
  </si>
  <si>
    <t>gouda, edam</t>
  </si>
  <si>
    <t>Gouda jeune &lt; 50 mg/kg; gouda vieux 100-250 mg/kg. L'âge d'affinage change fortement le risque.</t>
  </si>
  <si>
    <t>ROUGE</t>
  </si>
  <si>
    <t>TYR_007</t>
  </si>
  <si>
    <t>Parmigiano / Grana</t>
  </si>
  <si>
    <t>пармезан / грана</t>
  </si>
  <si>
    <t>Italie</t>
  </si>
  <si>
    <t>très affiné</t>
  </si>
  <si>
    <t>20 g</t>
  </si>
  <si>
    <t>parmesan, grana padano</t>
  </si>
  <si>
    <t>TYR_008</t>
  </si>
  <si>
    <t>Fromages bleus</t>
  </si>
  <si>
    <t>сыр с плесенью</t>
  </si>
  <si>
    <t>Global</t>
  </si>
  <si>
    <t>bleu / très affiné</t>
  </si>
  <si>
    <t>A</t>
  </si>
  <si>
    <t>https://cjfs.agriculturejournals.cz/pdfs/cjf/2008/06/06.pdf</t>
  </si>
  <si>
    <t>roquefort, stilton, gorgonzola, bleu</t>
  </si>
  <si>
    <t>forte</t>
  </si>
  <si>
    <t>TYR_009</t>
  </si>
  <si>
    <t>Bryndza</t>
  </si>
  <si>
    <t>брынза</t>
  </si>
  <si>
    <t>Europe de l'Est</t>
  </si>
  <si>
    <t>saumure / brebis</t>
  </si>
  <si>
    <t>40 g</t>
  </si>
  <si>
    <t>https://www.researchgate.net/publication/287418019_Biogenic_amines_in_ewe%27s_milk_lump_cheese_and_bryndza</t>
  </si>
  <si>
    <t>brynza</t>
  </si>
  <si>
    <t>TYR_010</t>
  </si>
  <si>
    <t>Suluguni</t>
  </si>
  <si>
    <t>сулугуни</t>
  </si>
  <si>
    <t>Géorgie / Russie</t>
  </si>
  <si>
    <t>saumure / parfois fumé</t>
  </si>
  <si>
    <t>D</t>
  </si>
  <si>
    <t>prudente</t>
  </si>
  <si>
    <t>suluguni, smoked suluguni</t>
  </si>
  <si>
    <t>TYR_011</t>
  </si>
  <si>
    <t>Viande fraîche</t>
  </si>
  <si>
    <t>свежее мясо</t>
  </si>
  <si>
    <t>frais</t>
  </si>
  <si>
    <t>150 g</t>
  </si>
  <si>
    <t>fresh meat</t>
  </si>
  <si>
    <t>fresh meat – not restricted</t>
  </si>
  <si>
    <t>TYR_012</t>
  </si>
  <si>
    <t>Poisson frais</t>
  </si>
  <si>
    <t>свежая рыба</t>
  </si>
  <si>
    <t>fresh fish</t>
  </si>
  <si>
    <t>fresh fish – not restricted</t>
  </si>
  <si>
    <t>TYR_013</t>
  </si>
  <si>
    <t>Boeuf maturé</t>
  </si>
  <si>
    <t>выдержанная говядина</t>
  </si>
  <si>
    <t>maturé</t>
  </si>
  <si>
    <t>200 g</t>
  </si>
  <si>
    <t>dry-aged beef</t>
  </si>
  <si>
    <t>smoked/pickled/aged/fermented meats</t>
  </si>
  <si>
    <t>TYR_014</t>
  </si>
  <si>
    <t>Saucisson sec fermenté</t>
  </si>
  <si>
    <t>сырокопчёная колбаса / салями</t>
  </si>
  <si>
    <t>Europe / Russie</t>
  </si>
  <si>
    <t>séché fermenté</t>
  </si>
  <si>
    <t>https://diposit.ub.edu/bitstreams/bfbbafbf-031d-47e3-bbb1-946934a7c855/download</t>
  </si>
  <si>
    <t>salami sec, saucisson sec</t>
  </si>
  <si>
    <t>Moyennes 150-200 mg/kg; maximum rapporté 785,22 mg/kg. Catégorie à très forte variabilité.</t>
  </si>
  <si>
    <t>TYR_015</t>
  </si>
  <si>
    <t>Jambon sec non fermenté</t>
  </si>
  <si>
    <t>вяленый окорок</t>
  </si>
  <si>
    <t>Europe</t>
  </si>
  <si>
    <t>séché non fermenté</t>
  </si>
  <si>
    <t>https://www.vup.sk/resources/bulletin/jfnr-2012-1-p052-059-paulsen.pdf</t>
  </si>
  <si>
    <t>prosciutto, jamón serrano</t>
  </si>
  <si>
    <t>TYR_016</t>
  </si>
  <si>
    <t>Salo</t>
  </si>
  <si>
    <t>сало</t>
  </si>
  <si>
    <t>Russie / Ukraine</t>
  </si>
  <si>
    <t>salé</t>
  </si>
  <si>
    <t>salo simple</t>
  </si>
  <si>
    <t>TYR_017</t>
  </si>
  <si>
    <t>Foie / pâté de foie</t>
  </si>
  <si>
    <t>печень / паштет</t>
  </si>
  <si>
    <t>pâté / abats</t>
  </si>
  <si>
    <t>https://www.accessdata.fda.gov/drugsatfda_docs/label/2007/011909s038lbl.pdf</t>
  </si>
  <si>
    <t>liver pate</t>
  </si>
  <si>
    <t>liver / pâté – restricted</t>
  </si>
  <si>
    <t>TYR_018</t>
  </si>
  <si>
    <t>Hareng fumé</t>
  </si>
  <si>
    <t>копчёная сельдь</t>
  </si>
  <si>
    <t>Nord / Russie</t>
  </si>
  <si>
    <t>fumé</t>
  </si>
  <si>
    <t>50 g</t>
  </si>
  <si>
    <t>https://advetresearch.com/index.php/AVR/article/view/1234</t>
  </si>
  <si>
    <t>smoked herring</t>
  </si>
  <si>
    <t>smoked/pickled/aged/fermented fish</t>
  </si>
  <si>
    <t>TYR_019</t>
  </si>
  <si>
    <t>Hareng mariné</t>
  </si>
  <si>
    <t>маринованная сельдь</t>
  </si>
  <si>
    <t>mariné</t>
  </si>
  <si>
    <t>pickled herring</t>
  </si>
  <si>
    <t>TYR_020</t>
  </si>
  <si>
    <t>Saumon fumé à froid</t>
  </si>
  <si>
    <t>холодного копчения лосось</t>
  </si>
  <si>
    <t>fumé à froid</t>
  </si>
  <si>
    <t>cold-smoked salmon</t>
  </si>
  <si>
    <t>TYR_021</t>
  </si>
  <si>
    <t>Vobla / poisson séché salé</t>
  </si>
  <si>
    <t>вобла</t>
  </si>
  <si>
    <t>Russie</t>
  </si>
  <si>
    <t>séché salé</t>
  </si>
  <si>
    <t>https://www.mdpi.com/2304-8158/13/16/2583</t>
  </si>
  <si>
    <t>vobla, taranka</t>
  </si>
  <si>
    <t>TYR_022</t>
  </si>
  <si>
    <t>Poisson fermenté</t>
  </si>
  <si>
    <t>ферментированная рыба</t>
  </si>
  <si>
    <t>fermenté</t>
  </si>
  <si>
    <t>fermented fish</t>
  </si>
  <si>
    <t>fermented fish products</t>
  </si>
  <si>
    <t>TYR_023</t>
  </si>
  <si>
    <t>Choucroute</t>
  </si>
  <si>
    <t>квашеная капуста</t>
  </si>
  <si>
    <t>Europe / global</t>
  </si>
  <si>
    <t>lacto-fermenté</t>
  </si>
  <si>
    <t>https://www.sciencedirect.com/science/article/abs/pii/S0308814699001314</t>
  </si>
  <si>
    <t>sauerkraut, kvashenaya kapusta</t>
  </si>
  <si>
    <t>Études anciennes 25-89 mg/kg; survey n=121 moyenne 174 mg/kg; stockage prolongé jusqu'à 570 mg/kg.</t>
  </si>
  <si>
    <t>fermented vegetables / pickled foods</t>
  </si>
  <si>
    <t>TYR_024</t>
  </si>
  <si>
    <t>Concombres fermentés</t>
  </si>
  <si>
    <t>солёные огурцы</t>
  </si>
  <si>
    <t>Est Europe / global</t>
  </si>
  <si>
    <t>https://www.bccdc.ca/resource-gallery/Documents/Educational%20Materials/EH/FPS/Food/Fermented/Fermented_Foods_Guidance-3.1_Fermented_Vegetables.pdf</t>
  </si>
  <si>
    <t>pickled cucumbers, fermented pickles</t>
  </si>
  <si>
    <t>TYR_025</t>
  </si>
  <si>
    <t>Sauce soja</t>
  </si>
  <si>
    <t>соевый соус</t>
  </si>
  <si>
    <t>Asie / global</t>
  </si>
  <si>
    <t>condiment fermenté</t>
  </si>
  <si>
    <t>15 mL</t>
  </si>
  <si>
    <t>https://www.sciencedirect.com/science/article/pii/S0308814612000660</t>
  </si>
  <si>
    <t>soy sauce, shoyu</t>
  </si>
  <si>
    <t>Profils usuels 100-200 mg/L, produits mesurés jusqu'à 793-940 mg/L. 1 c. à s. peut atteindre seuil 6 mg.</t>
  </si>
  <si>
    <t>fermented soy products</t>
  </si>
  <si>
    <t>TYR_026</t>
  </si>
  <si>
    <t>Miso</t>
  </si>
  <si>
    <t>мисо</t>
  </si>
  <si>
    <t>Japon / global</t>
  </si>
  <si>
    <t>pâte fermentée</t>
  </si>
  <si>
    <t>miso</t>
  </si>
  <si>
    <t>TYR_027</t>
  </si>
  <si>
    <t>Natto</t>
  </si>
  <si>
    <t>натто</t>
  </si>
  <si>
    <t>Japon</t>
  </si>
  <si>
    <t>soja fermenté</t>
  </si>
  <si>
    <t>natto</t>
  </si>
  <si>
    <t>TYR_028</t>
  </si>
  <si>
    <t>Sauce de poisson</t>
  </si>
  <si>
    <t>рыбный соус</t>
  </si>
  <si>
    <t>Asie du Sud-Est</t>
  </si>
  <si>
    <t>10 mL</t>
  </si>
  <si>
    <t>https://pubmed.ncbi.nlm.nih.gov/24779975/</t>
  </si>
  <si>
    <t>fish sauce, nuoc-mâm</t>
  </si>
  <si>
    <t>TYR_029</t>
  </si>
  <si>
    <t>Extrait de levure</t>
  </si>
  <si>
    <t>дрожжевой экстракт</t>
  </si>
  <si>
    <t>concentré levure</t>
  </si>
  <si>
    <t>5 g</t>
  </si>
  <si>
    <t>https://www.researchgate.net/publication/230019742_Histamine_and_Tyramine_Content_of_Yeast_Products</t>
  </si>
  <si>
    <t>marmite, vegemite</t>
  </si>
  <si>
    <t>Anciens extrêmes rapportés ~1500 mg/kg. Portion petite mais produit très concentré.</t>
  </si>
  <si>
    <t>concentrated yeast extracts</t>
  </si>
  <si>
    <t>TYR_030</t>
  </si>
  <si>
    <t>Bière bouteille / canette</t>
  </si>
  <si>
    <t>бутылочное / баночное пиво</t>
  </si>
  <si>
    <t>bière pasteurisée standard</t>
  </si>
  <si>
    <t>330 mL</t>
  </si>
  <si>
    <t>https://pubmed.ncbi.nlm.nih.gov/8151003/</t>
  </si>
  <si>
    <t>bottled beer, canned beer</t>
  </si>
  <si>
    <t>alcoholic beverages</t>
  </si>
  <si>
    <t>TYR_031</t>
  </si>
  <si>
    <t>Bière pression / live / homebrew</t>
  </si>
  <si>
    <t>разливное / живое / домашнее пиво</t>
  </si>
  <si>
    <t>bière pression / non standardisée</t>
  </si>
  <si>
    <t>draft beer, live beer, homebrew</t>
  </si>
  <si>
    <t>tap beer</t>
  </si>
  <si>
    <t>TYR_032</t>
  </si>
  <si>
    <t>Vin rouge</t>
  </si>
  <si>
    <t>красное вино</t>
  </si>
  <si>
    <t>vin</t>
  </si>
  <si>
    <t>150 mL</t>
  </si>
  <si>
    <t>https://pmc.ncbi.nlm.nih.gov/articles/PMC8508579/</t>
  </si>
  <si>
    <t>red wine</t>
  </si>
  <si>
    <t>wine (red)</t>
  </si>
  <si>
    <t>TYR_033</t>
  </si>
  <si>
    <t>Vin blanc</t>
  </si>
  <si>
    <t>белое вино</t>
  </si>
  <si>
    <t>https://www.mdpi.com/2306-5710/5/1/19</t>
  </si>
  <si>
    <t>white wine</t>
  </si>
  <si>
    <t>TYR_034</t>
  </si>
  <si>
    <t>Kvas de pain</t>
  </si>
  <si>
    <t>квас</t>
  </si>
  <si>
    <t>Russie / Est Europe</t>
  </si>
  <si>
    <t>boisson fermentée</t>
  </si>
  <si>
    <t>https://www.cambridge.org/core/journals/nutrition-research-reviews/article/traditional-lowalcoholic-and-nonalcoholic-fermented-beverages-consumed-in-european-countries-a-neglected-food-group/F7DBC2D563B72D393E1EC47F4B228877</t>
  </si>
  <si>
    <t>bread kvass</t>
  </si>
  <si>
    <t>fermented beverages</t>
  </si>
  <si>
    <t>TYR_035</t>
  </si>
  <si>
    <t>Kvas de betterave</t>
  </si>
  <si>
    <t>свекольный квас</t>
  </si>
  <si>
    <t>https://www.researchgate.net/publication/343971931_Effects_of_Salt_and_Garlic_Concentration_on_The_Microbial_Safety_Biochemical_Properties_and_Sensory_Acceptance_of_Spontaneously_Fermented_Beet_Kvass</t>
  </si>
  <si>
    <t>beet kvass</t>
  </si>
  <si>
    <t>TYR_036</t>
  </si>
  <si>
    <t>Pulpe de banane</t>
  </si>
  <si>
    <t>банан</t>
  </si>
  <si>
    <t>fruit</t>
  </si>
  <si>
    <t>120 g</t>
  </si>
  <si>
    <t>https://www.psychiatrist.com/pdf/dietary-restrictions-and-drug-interactions-with-monoamine-oxidase-inhibitors-an-update-pdf/</t>
  </si>
  <si>
    <t>banana pulp</t>
  </si>
  <si>
    <t>fresh fruit – not restricted</t>
  </si>
  <si>
    <t>TYR_037</t>
  </si>
  <si>
    <t>Peau de banane</t>
  </si>
  <si>
    <t>банановая кожура</t>
  </si>
  <si>
    <t>peau</t>
  </si>
  <si>
    <t>1 peau</t>
  </si>
  <si>
    <t>https://pubmed.ncbi.nlm.nih.gov/8889911/</t>
  </si>
  <si>
    <t>banana peel</t>
  </si>
  <si>
    <t>overripe fruits</t>
  </si>
  <si>
    <t>TYR_038</t>
  </si>
  <si>
    <t>Avocat très mûr</t>
  </si>
  <si>
    <t>очень спелый авокадо</t>
  </si>
  <si>
    <t>fruit très mûr</t>
  </si>
  <si>
    <t>75 g</t>
  </si>
  <si>
    <t>very ripe avocado</t>
  </si>
  <si>
    <t>TYR_039</t>
  </si>
  <si>
    <t>Chocolat noir</t>
  </si>
  <si>
    <t>тёмный шоколад</t>
  </si>
  <si>
    <t>transformé</t>
  </si>
  <si>
    <t>dark chocolate</t>
  </si>
  <si>
    <t>condiments – not restricted</t>
  </si>
  <si>
    <t>TYR_040</t>
  </si>
  <si>
    <t>Fèves / gousses de fèves</t>
  </si>
  <si>
    <t>бобы / стручки бобов</t>
  </si>
  <si>
    <t>légumineuse</t>
  </si>
  <si>
    <t>fava beans, broad beans</t>
  </si>
  <si>
    <t>fava/broad beans (L-DOPA mechanism)</t>
  </si>
  <si>
    <t>TYR_041</t>
  </si>
  <si>
    <t>Salami / pepperoni</t>
  </si>
  <si>
    <t>салями / пепперони</t>
  </si>
  <si>
    <t>Italie / global</t>
  </si>
  <si>
    <t>https://www.sciencedirect.com/science/article/abs/pii/S0308814612011612</t>
  </si>
  <si>
    <t>pizza pepperoni, salami piccante</t>
  </si>
  <si>
    <t>Couvert par la catégorie saucisse fermentée : moyennes 150-200 mg/kg, maximum 785 mg/kg.</t>
  </si>
  <si>
    <t>TYR_042</t>
  </si>
  <si>
    <t>Sucuk / sudjuk</t>
  </si>
  <si>
    <t>суджук / суджук</t>
  </si>
  <si>
    <t>Turquie / Caucase / Russie</t>
  </si>
  <si>
    <t>https://www.sciencedirect.com/science/article/abs/pii/S0956713507001880</t>
  </si>
  <si>
    <t>sujuk, sucuk, sudzhuk</t>
  </si>
  <si>
    <t>TYR_043</t>
  </si>
  <si>
    <t>Pastirma / basturma</t>
  </si>
  <si>
    <t>пастрома / бастурма</t>
  </si>
  <si>
    <t>Turquie / Arménie / Caucase</t>
  </si>
  <si>
    <t>séché / épicé / maturé</t>
  </si>
  <si>
    <t>basturma, bastirma, pastirma</t>
  </si>
  <si>
    <t>TYR_044</t>
  </si>
  <si>
    <t>Coppa / capocollo</t>
  </si>
  <si>
    <t>коппа</t>
  </si>
  <si>
    <t>coppa, capocollo</t>
  </si>
  <si>
    <t>TYR_045</t>
  </si>
  <si>
    <t>Bresaola</t>
  </si>
  <si>
    <t>брезаола</t>
  </si>
  <si>
    <t>bresaola</t>
  </si>
  <si>
    <t>TYR_046</t>
  </si>
  <si>
    <t>Anchois salés</t>
  </si>
  <si>
    <t>анчоусы</t>
  </si>
  <si>
    <t>Méditerranée</t>
  </si>
  <si>
    <t>salé / maturé</t>
  </si>
  <si>
    <t>15 g</t>
  </si>
  <si>
    <t>https://www.efsa.europa.eu/en/efsajournal/pub/2393</t>
  </si>
  <si>
    <t>anchovies</t>
  </si>
  <si>
    <t>Pons-Sánchez-Cascado 2005a : jusqu'à 90 mg/kg. Outlier classique Mietz-Karmas 1977 jusqu'à 783 mg/kg.</t>
  </si>
  <si>
    <t>TYR_047</t>
  </si>
  <si>
    <t>Maquereau fumé</t>
  </si>
  <si>
    <t>копчёная скумбрия</t>
  </si>
  <si>
    <t>smoked mackerel</t>
  </si>
  <si>
    <t>TYR_048</t>
  </si>
  <si>
    <t>Sprats fumés</t>
  </si>
  <si>
    <t>шпроты</t>
  </si>
  <si>
    <t>Baltique / Russie</t>
  </si>
  <si>
    <t>fumé en conserve</t>
  </si>
  <si>
    <t>sprats</t>
  </si>
  <si>
    <t>TYR_049</t>
  </si>
  <si>
    <t>Omul fumé</t>
  </si>
  <si>
    <t>омуль горячего/холодного копчения</t>
  </si>
  <si>
    <t>Sibérie</t>
  </si>
  <si>
    <t>smoked omul</t>
  </si>
  <si>
    <t>TYR_050</t>
  </si>
  <si>
    <t>Kimchi</t>
  </si>
  <si>
    <t>кимчхи</t>
  </si>
  <si>
    <t>Corée / global restaurant</t>
  </si>
  <si>
    <t>lacto-fermenté avec condiments</t>
  </si>
  <si>
    <t>https://pmc.ncbi.nlm.nih.gov/articles/PMC6915361/</t>
  </si>
  <si>
    <t>baechu kimchi, kkakdugi, pa kimchi</t>
  </si>
  <si>
    <t>TYR_051</t>
  </si>
  <si>
    <t>Gochujang</t>
  </si>
  <si>
    <t>кочуджан</t>
  </si>
  <si>
    <t>Corée</t>
  </si>
  <si>
    <t>https://www.mdpi.com/2304-8158/10/10/2370</t>
  </si>
  <si>
    <t>gochujang</t>
  </si>
  <si>
    <t>TYR_052</t>
  </si>
  <si>
    <t>Doenjang</t>
  </si>
  <si>
    <r>
      <rPr>
        <sz val="10"/>
        <rFont val="Calibri"/>
        <family val="2"/>
      </rPr>
      <t xml:space="preserve">твенджан / </t>
    </r>
    <r>
      <rPr>
        <sz val="10"/>
        <rFont val="Noto Sans CJK SC"/>
        <family val="2"/>
      </rPr>
      <t>된장</t>
    </r>
  </si>
  <si>
    <t>pâte fermentée artisanale</t>
  </si>
  <si>
    <t>https://pubmed.ncbi.nlm.nih.gov/38002142/</t>
  </si>
  <si>
    <t>doenjang</t>
  </si>
  <si>
    <t>TYR_053</t>
  </si>
  <si>
    <t>Cheonggukjang</t>
  </si>
  <si>
    <t>청국장</t>
  </si>
  <si>
    <t>https://www.mdpi.com/2304-8158/9/7/915</t>
  </si>
  <si>
    <t>cheonggukjang</t>
  </si>
  <si>
    <t>TYR_054</t>
  </si>
  <si>
    <t>Tamari / shoyu</t>
  </si>
  <si>
    <t>тамари / сёю</t>
  </si>
  <si>
    <t>sauce soja fermentée</t>
  </si>
  <si>
    <t>tamari, shoyu</t>
  </si>
  <si>
    <t>TYR_055</t>
  </si>
  <si>
    <t>Doubanjiang</t>
  </si>
  <si>
    <t>дубаньцзян</t>
  </si>
  <si>
    <t>Chine / restaurant</t>
  </si>
  <si>
    <t>pâte fèves fermentée</t>
  </si>
  <si>
    <t>doubanjiang, chili bean paste</t>
  </si>
  <si>
    <t>TYR_056</t>
  </si>
  <si>
    <t>Sambal fermenté / belacan</t>
  </si>
  <si>
    <t>самбал / белачан</t>
  </si>
  <si>
    <t>sambal belacan, shrimp paste sambal</t>
  </si>
  <si>
    <t>fermented condiments – caution</t>
  </si>
  <si>
    <t>TYR_057</t>
  </si>
  <si>
    <t>Pâte de crevettes fermentée</t>
  </si>
  <si>
    <t>креветочная паста</t>
  </si>
  <si>
    <t>10 g</t>
  </si>
  <si>
    <t>shrimp paste, belacan, bagoong</t>
  </si>
  <si>
    <t>TYR_058</t>
  </si>
  <si>
    <t>Huîtres / sauce huître fermentée</t>
  </si>
  <si>
    <t>устричный соус</t>
  </si>
  <si>
    <t>oyster sauce</t>
  </si>
  <si>
    <t>TYR_059</t>
  </si>
  <si>
    <t>Tempeh</t>
  </si>
  <si>
    <t>темпе</t>
  </si>
  <si>
    <t>Indonésie / global</t>
  </si>
  <si>
    <t>https://www.sciencedirect.com/science/article/pii/S0308814614016823</t>
  </si>
  <si>
    <t>tempeh</t>
  </si>
  <si>
    <t>TYR_060</t>
  </si>
  <si>
    <t>Sufu / tofu fermenté</t>
  </si>
  <si>
    <t>суфу / ферментированный тофу</t>
  </si>
  <si>
    <t>Chine</t>
  </si>
  <si>
    <t>fermented tofu, sufu, stinky tofu</t>
  </si>
  <si>
    <t>TYR_061</t>
  </si>
  <si>
    <t>Olives de table artisanales</t>
  </si>
  <si>
    <t>оливки</t>
  </si>
  <si>
    <t>saumure fermentée</t>
  </si>
  <si>
    <t>https://pubmed.ncbi.nlm.nih.gov/11252482/</t>
  </si>
  <si>
    <t>table olives</t>
  </si>
  <si>
    <t>TYR_062</t>
  </si>
  <si>
    <t>Câpres / caperberries</t>
  </si>
  <si>
    <t>каперсы</t>
  </si>
  <si>
    <t>saumure</t>
  </si>
  <si>
    <t>capers, caperberries</t>
  </si>
  <si>
    <t>TYR_063</t>
  </si>
  <si>
    <t>Concombres lacto-fermentés maison</t>
  </si>
  <si>
    <t>домашние солёные огурцы</t>
  </si>
  <si>
    <t>Est Europe / Russie</t>
  </si>
  <si>
    <t>fermenté maison</t>
  </si>
  <si>
    <t>https://pmc.ncbi.nlm.nih.gov/articles/PMC6675860/</t>
  </si>
  <si>
    <t>starter-culture gherkins</t>
  </si>
  <si>
    <t>TYR_064</t>
  </si>
  <si>
    <t>Halloumi / fromage en saumure</t>
  </si>
  <si>
    <t>халлуми</t>
  </si>
  <si>
    <t>Levant / Méditerranée</t>
  </si>
  <si>
    <t>halloumi, white brined cheese</t>
  </si>
  <si>
    <t>TYR_065</t>
  </si>
  <si>
    <t>Labneh très égoutté / affiné</t>
  </si>
  <si>
    <t>лабне</t>
  </si>
  <si>
    <t>Levant</t>
  </si>
  <si>
    <t>lait fermenté concentré</t>
  </si>
  <si>
    <t>labneh</t>
  </si>
  <si>
    <t>TYR_066</t>
  </si>
  <si>
    <t>Makdous</t>
  </si>
  <si>
    <t>макдус</t>
  </si>
  <si>
    <t>aubergine fermentée / farcie</t>
  </si>
  <si>
    <t>80 g</t>
  </si>
  <si>
    <t>makdous</t>
  </si>
  <si>
    <t>TYR_067</t>
  </si>
  <si>
    <t>Jerky artisanal</t>
  </si>
  <si>
    <t>джерки</t>
  </si>
  <si>
    <t>séché</t>
  </si>
  <si>
    <t>https://www.mdpi.com/2304-8158/14/11/1842</t>
  </si>
  <si>
    <t>beef jerky, dried meat snack</t>
  </si>
  <si>
    <t>TYR_068</t>
  </si>
  <si>
    <t>Kombucha alcoolisé / hard kombucha</t>
  </si>
  <si>
    <t>хард комбуча</t>
  </si>
  <si>
    <t>Global craft</t>
  </si>
  <si>
    <t>hard kombucha</t>
  </si>
  <si>
    <t>TYR_069</t>
  </si>
  <si>
    <t>Boisson distillée standardisée</t>
  </si>
  <si>
    <t>водка / gin / rhum blanc</t>
  </si>
  <si>
    <t>distillé</t>
  </si>
  <si>
    <t>40 mL</t>
  </si>
  <si>
    <t>https://www.ages.at/en/human/nutrition-food/residues-contaminants-from-a-to-z/biogenic-amines</t>
  </si>
  <si>
    <t>vodka, gin, white rum</t>
  </si>
  <si>
    <t>TYR_070</t>
  </si>
  <si>
    <t>Féta</t>
  </si>
  <si>
    <t>фета</t>
  </si>
  <si>
    <t>Grèce / global</t>
  </si>
  <si>
    <t>saumure affinée</t>
  </si>
  <si>
    <t>https://pubmed.ncbi.nlm.nih.gov/34551335/</t>
  </si>
  <si>
    <t>feta, salade grecque</t>
  </si>
  <si>
    <t>Kandasamy 2021 : échantillon à 310 mg/kg. Suffit seul pour signal rouge conservateur.</t>
  </si>
  <si>
    <t>TYR_071</t>
  </si>
  <si>
    <t>Gruyère AOP</t>
  </si>
  <si>
    <t>грюйер</t>
  </si>
  <si>
    <t>Suisse / France</t>
  </si>
  <si>
    <t>pâte pressée cuite affinée</t>
  </si>
  <si>
    <t>https://psychotropical.com/wp-content/uploads/2019/09/8-MAOI_diet_drug_interactions_2019.pdf</t>
  </si>
  <si>
    <t>gruyère, fondue</t>
  </si>
  <si>
    <t>&lt; 100 mg/kg dans les données résumées par Gillman. Risque inférieur à bleus/féta mais pas 'sûr'.</t>
  </si>
  <si>
    <t>TYR_072</t>
  </si>
  <si>
    <t>Emmental</t>
  </si>
  <si>
    <t>эмменталь</t>
  </si>
  <si>
    <t>Suisse / France / global</t>
  </si>
  <si>
    <t>https://pubmed.ncbi.nlm.nih.gov/12769487/</t>
  </si>
  <si>
    <t>emmental, swiss cheese</t>
  </si>
  <si>
    <t>Pillonel 2003 : 8,6-403 mg/kg selon origine et affinage. Très variable.</t>
  </si>
  <si>
    <t>TYR_073</t>
  </si>
  <si>
    <t>Anchois marinés au vinaigre</t>
  </si>
  <si>
    <t>анчоусы маринованные в уксусе</t>
  </si>
  <si>
    <t>mariné vinaigre</t>
  </si>
  <si>
    <t>https://pubmed.ncbi.nlm.nih.gov/16091324/</t>
  </si>
  <si>
    <t>boquerones en vinagre</t>
  </si>
  <si>
    <t>Pons-Sánchez-Cascado 2005b : 7,81 mg/kg. Beaucoup plus bas que anchois salés.</t>
  </si>
  <si>
    <t>TYR_074</t>
  </si>
  <si>
    <t>Hareng peu salé longue conservation</t>
  </si>
  <si>
    <t>малосольная сельдь длительного хранения</t>
  </si>
  <si>
    <t>peu salé maturé</t>
  </si>
  <si>
    <t>https://pubmed.ncbi.nlm.nih.gov/14527013/</t>
  </si>
  <si>
    <t>малосольная сельдь</t>
  </si>
  <si>
    <t>Fonberg-Broczek 2003 : jusqu'à 318 mg/kg après 6 semaines. Fort risque si maison.</t>
  </si>
  <si>
    <t>TYR_075</t>
  </si>
  <si>
    <t>Laits fermentés probiotiques (étude expérimentale)</t>
  </si>
  <si>
    <t>пробиотические кисломолочные продукты</t>
  </si>
  <si>
    <t>Global expérimental</t>
  </si>
  <si>
    <t>fermentation souches spécifiques</t>
  </si>
  <si>
    <t>https://pubmed.ncbi.nlm.nih.gov/25766125/</t>
  </si>
  <si>
    <t>probiotic fermented milk</t>
  </si>
  <si>
    <t>Costa 2015 : 249-337 mg/kg en conditions expérimentales. Ne PAS extrapoler au kéfir industriel.</t>
  </si>
  <si>
    <t>TYR_076</t>
  </si>
  <si>
    <t>Fromage semi-dur russe Rossiïski (proxy)</t>
  </si>
  <si>
    <t>российский сыр</t>
  </si>
  <si>
    <t>semi-dur affiné (proxy)</t>
  </si>
  <si>
    <t>proxy</t>
  </si>
  <si>
    <t>российский, russian semi-hard cheese</t>
  </si>
  <si>
    <t>Proxy Gouda/Edam (TYR_006). Données directes russes insuffisantes.</t>
  </si>
  <si>
    <t>TYR_077</t>
  </si>
  <si>
    <t>Ryazhenka</t>
  </si>
  <si>
    <t>ряженка</t>
  </si>
  <si>
    <t>lait cuit fermenté</t>
  </si>
  <si>
    <t>donnée manquante</t>
  </si>
  <si>
    <t>ряженка, ryazhenka</t>
  </si>
  <si>
    <t>Aucune donnée quantitative directe. Prudence forte par défaut.</t>
  </si>
  <si>
    <t>TYR_078</t>
  </si>
  <si>
    <t>Gruyère vieux/réserve 15+ mois</t>
  </si>
  <si>
    <t>грюйер выдержанный</t>
  </si>
  <si>
    <t>Suisse</t>
  </si>
  <si>
    <t>pâte pressée cuite affinée 15+ mois</t>
  </si>
  <si>
    <t>vieux gruyère, gruyère réserve</t>
  </si>
  <si>
    <t>Pillonel 2003 : affinage long augmente tyramine jusqu'à 500 mg/kg sur outliers.</t>
  </si>
  <si>
    <t>TYR_079</t>
  </si>
  <si>
    <t>Comté AOP jeune 6-12 mois</t>
  </si>
  <si>
    <t>конте молодой</t>
  </si>
  <si>
    <t>France Jura</t>
  </si>
  <si>
    <t>pâte pressée cuite jeune</t>
  </si>
  <si>
    <t>young comté</t>
  </si>
  <si>
    <t>Proxy Gruyère jeune. Affinage court limite l'accumulation.</t>
  </si>
  <si>
    <t>TYR_080</t>
  </si>
  <si>
    <t>Comté AOP vieux 18-24 mois</t>
  </si>
  <si>
    <t>конте выдержанный</t>
  </si>
  <si>
    <t>aged comté</t>
  </si>
  <si>
    <t>Proxy Gruyère vieux. Affinage long = risque élevé.</t>
  </si>
  <si>
    <t>TYR_081</t>
  </si>
  <si>
    <t>Comté extra-vieux 36+ mois</t>
  </si>
  <si>
    <t>конте экстра выдержанный</t>
  </si>
  <si>
    <t>pâte pressée cuite très affinée</t>
  </si>
  <si>
    <t>extra-aged comté</t>
  </si>
  <si>
    <t>Proxy fromages long affinage. Noir absolu en 30g.</t>
  </si>
  <si>
    <t>TYR_082</t>
  </si>
  <si>
    <t>Beaufort d'alpage AOP</t>
  </si>
  <si>
    <t>бофор</t>
  </si>
  <si>
    <t>France Savoie</t>
  </si>
  <si>
    <t>pâte pressée cuite alpage</t>
  </si>
  <si>
    <t>beaufort alpage</t>
  </si>
  <si>
    <t>Proxy pâtes pressées cuites long affinage.</t>
  </si>
  <si>
    <t>TYR_083</t>
  </si>
  <si>
    <t>Appenzeller</t>
  </si>
  <si>
    <t>аппенцеллер</t>
  </si>
  <si>
    <t>pâte pressée cuite croûte lavée</t>
  </si>
  <si>
    <t>appenzeller</t>
  </si>
  <si>
    <t>Données Pillonel 2003 proches Gruyère/Emmental.</t>
  </si>
  <si>
    <t>TYR_084</t>
  </si>
  <si>
    <t>Cheddar jeune 3 mois</t>
  </si>
  <si>
    <t>чеддер молодой</t>
  </si>
  <si>
    <t>pâte pressée non cuite jeune</t>
  </si>
  <si>
    <t>mild cheddar, young cheddar</t>
  </si>
  <si>
    <t>Gillman : jeunes cheddars &lt; 50 mg/kg. Réhabilité vs notice FDA historique.</t>
  </si>
  <si>
    <t>TYR_085</t>
  </si>
  <si>
    <t>Cheddar extra-mature/vintage 18-36 mois</t>
  </si>
  <si>
    <t>чеддер винтаж</t>
  </si>
  <si>
    <t>pâte pressée non cuite très affinée</t>
  </si>
  <si>
    <t>vintage cheddar, extra-mature</t>
  </si>
  <si>
    <t>Affinage long : Gillman jusqu'à 160 mg/kg à 36 semaines.</t>
  </si>
  <si>
    <t>TYR_086</t>
  </si>
  <si>
    <t>Gouda vieux/oud 2-4 ans</t>
  </si>
  <si>
    <t>гауда выдержанная</t>
  </si>
  <si>
    <t>Pays-Bas</t>
  </si>
  <si>
    <t>oud gouda, aged gouda</t>
  </si>
  <si>
    <t>Gillman : gouda vieux 100-250 mg/kg. Noir absolu.</t>
  </si>
  <si>
    <t>TYR_087</t>
  </si>
  <si>
    <t>Cantal entre-deux/vieux AOP</t>
  </si>
  <si>
    <t>канталь</t>
  </si>
  <si>
    <t>France Auvergne</t>
  </si>
  <si>
    <t>pâte pressée non cuite affinée</t>
  </si>
  <si>
    <t>cantal entre-deux, cantal vieux</t>
  </si>
  <si>
    <t>Proxy pâtes pressées non cuites moyennes.</t>
  </si>
  <si>
    <t>TYR_088</t>
  </si>
  <si>
    <t>Manchego curado/viejo DOP</t>
  </si>
  <si>
    <t>манчего</t>
  </si>
  <si>
    <t>Espagne La Mancha</t>
  </si>
  <si>
    <t>brebis pâte pressée affinée</t>
  </si>
  <si>
    <t>https://pubmed.ncbi.nlm.nih.gov/12769492/</t>
  </si>
  <si>
    <t>manchego curado, manchego viejo</t>
  </si>
  <si>
    <t>Novella-Rodríguez 2000-2004 : long affinage brebis augmente tyramine.</t>
  </si>
  <si>
    <t>TYR_089</t>
  </si>
  <si>
    <t>Pecorino Romano DOP</t>
  </si>
  <si>
    <t>пекорино романо</t>
  </si>
  <si>
    <t>Italie Lazio/Sardaigne</t>
  </si>
  <si>
    <t>brebis pâte pressée cuite salée</t>
  </si>
  <si>
    <t>pecorino romano, pecorino</t>
  </si>
  <si>
    <t>Fromage brebis très salé long affinage. Outliers élevés.</t>
  </si>
  <si>
    <t>TYR_090</t>
  </si>
  <si>
    <t>Pecorino Sardo vieux</t>
  </si>
  <si>
    <t>пекорино сардо</t>
  </si>
  <si>
    <t>Italie Sardaigne</t>
  </si>
  <si>
    <t>brebis affinage long</t>
  </si>
  <si>
    <t>pecorino sardo stagionato</t>
  </si>
  <si>
    <t>Proxy Pecorino Romano long affinage.</t>
  </si>
  <si>
    <t>TYR_091</t>
  </si>
  <si>
    <t>Parmigiano Reggiano 24 mois DOP</t>
  </si>
  <si>
    <t>пармезан 24 месяца</t>
  </si>
  <si>
    <t>pâte très dure cuite</t>
  </si>
  <si>
    <t>parmigiano 24 mois, parmesan</t>
  </si>
  <si>
    <t>Suivi Gillman. Outliers extrêmes reportés sur long affinage.</t>
  </si>
  <si>
    <t>TYR_092</t>
  </si>
  <si>
    <t>Grana Padano stravecchio 36+ mois</t>
  </si>
  <si>
    <t>грана падано старший</t>
  </si>
  <si>
    <t>pâte très dure long affinage</t>
  </si>
  <si>
    <t>grana stravecchio</t>
  </si>
  <si>
    <t>Long affinage &gt;30 mois : accumulation majeure.</t>
  </si>
  <si>
    <t>TYR_093</t>
  </si>
  <si>
    <t>Brie de Meaux AOP lait cru</t>
  </si>
  <si>
    <t>бри де мо</t>
  </si>
  <si>
    <t>France</t>
  </si>
  <si>
    <t>pâte molle croûte fleurie lait cru</t>
  </si>
  <si>
    <t>https://pubmed.ncbi.nlm.nih.gov/19781707/</t>
  </si>
  <si>
    <t>brie de meaux AOP</t>
  </si>
  <si>
    <t>Mayer 2010 : lait cru + affinage artisanal = outliers majeurs vs industriel pasteurisé.</t>
  </si>
  <si>
    <t>TYR_094</t>
  </si>
  <si>
    <t>Camembert de Normandie AOP lait cru</t>
  </si>
  <si>
    <t>камамбер де нормандия</t>
  </si>
  <si>
    <t>pâte molle lait cru AOP</t>
  </si>
  <si>
    <t>camembert AOP lait cru</t>
  </si>
  <si>
    <t>Mayer 2010 : affinage cru = valeurs très variables vs industriel.</t>
  </si>
  <si>
    <t>TYR_095</t>
  </si>
  <si>
    <t>Coulommiers</t>
  </si>
  <si>
    <t>куломье</t>
  </si>
  <si>
    <t>pâte molle croûte fleurie</t>
  </si>
  <si>
    <t>coulommiers</t>
  </si>
  <si>
    <t>Proxy Brie industriel + notes artisanales.</t>
  </si>
  <si>
    <t>TYR_096</t>
  </si>
  <si>
    <t>Chaource AOP</t>
  </si>
  <si>
    <t>шаурс</t>
  </si>
  <si>
    <t>France Champagne</t>
  </si>
  <si>
    <t>pâte molle triple crème</t>
  </si>
  <si>
    <t>chaource</t>
  </si>
  <si>
    <t>Proxy croûte fleurie affinage court.</t>
  </si>
  <si>
    <t>TYR_097</t>
  </si>
  <si>
    <t>Époisses de Bourgogne AOP</t>
  </si>
  <si>
    <t>эпуасс</t>
  </si>
  <si>
    <t>pâte molle croûte lavée marc</t>
  </si>
  <si>
    <t>https://pmc.ncbi.nlm.nih.gov/articles/PMC9740775/</t>
  </si>
  <si>
    <t>epoisses</t>
  </si>
  <si>
    <t>Pluta-Kubica 2022 : croûtes lavées typiquement 20-150 mg/100g.</t>
  </si>
  <si>
    <t>TYR_098</t>
  </si>
  <si>
    <t>Munster AOP</t>
  </si>
  <si>
    <t>мюнстер</t>
  </si>
  <si>
    <t>France Alsace</t>
  </si>
  <si>
    <t>pâte molle croûte lavée</t>
  </si>
  <si>
    <t>munster, munster-géromé</t>
  </si>
  <si>
    <t>Croûte lavée long affinage : accumulation forte.</t>
  </si>
  <si>
    <t>TYR_099</t>
  </si>
  <si>
    <t>Livarot AOP</t>
  </si>
  <si>
    <t>ливаро</t>
  </si>
  <si>
    <t>France Normandie</t>
  </si>
  <si>
    <t>livarot</t>
  </si>
  <si>
    <t>Proxy croûtes lavées.</t>
  </si>
  <si>
    <t>TYR_100</t>
  </si>
  <si>
    <t>Reblochon AOP</t>
  </si>
  <si>
    <t>реблошон</t>
  </si>
  <si>
    <t>pâte molle croûte lavée lait cru</t>
  </si>
  <si>
    <t>reblochon</t>
  </si>
  <si>
    <t>Croûte lavée lait cru.</t>
  </si>
  <si>
    <t>TYR_101</t>
  </si>
  <si>
    <t>Pont-l'Évêque AOP</t>
  </si>
  <si>
    <t>пон-левек</t>
  </si>
  <si>
    <t>pont-l'eveque</t>
  </si>
  <si>
    <t>Proxy Livarot.</t>
  </si>
  <si>
    <t>TYR_102</t>
  </si>
  <si>
    <t>Langres AOP</t>
  </si>
  <si>
    <t>лангр</t>
  </si>
  <si>
    <t>langres</t>
  </si>
  <si>
    <t>Proxy Époisses.</t>
  </si>
  <si>
    <t>TYR_103</t>
  </si>
  <si>
    <t>Roquefort AOP</t>
  </si>
  <si>
    <t>рокфор</t>
  </si>
  <si>
    <t>France Aveyron</t>
  </si>
  <si>
    <t>bleu brebis AOP</t>
  </si>
  <si>
    <t>roquefort</t>
  </si>
  <si>
    <t>Novella-Rodríguez 2003 : bleus 0-1585 mg/kg. Roquefort outliers majeurs.</t>
  </si>
  <si>
    <t>TYR_104</t>
  </si>
  <si>
    <t>Stilton PDO</t>
  </si>
  <si>
    <t>стилтон</t>
  </si>
  <si>
    <t>UK</t>
  </si>
  <si>
    <t>bleu vache PDO</t>
  </si>
  <si>
    <t>stilton</t>
  </si>
  <si>
    <t>Evans 1988 historique jusqu'à 420 mg/100g (4200 mg/kg).</t>
  </si>
  <si>
    <t>TYR_105</t>
  </si>
  <si>
    <t>Gorgonzola dolce DOP</t>
  </si>
  <si>
    <t>горгонзола дольче</t>
  </si>
  <si>
    <t>bleu vache doux</t>
  </si>
  <si>
    <t>gorgonzola dolce</t>
  </si>
  <si>
    <t>Version dolce : affinage plus court que piccante.</t>
  </si>
  <si>
    <t>TYR_106</t>
  </si>
  <si>
    <t>Gorgonzola piccante DOP</t>
  </si>
  <si>
    <t>горгонзола пиканте</t>
  </si>
  <si>
    <t>bleu vache affiné</t>
  </si>
  <si>
    <t>gorgonzola piccante</t>
  </si>
  <si>
    <t>Version piccante : long affinage.</t>
  </si>
  <si>
    <t>TYR_107</t>
  </si>
  <si>
    <t>Cabrales DOP</t>
  </si>
  <si>
    <t>кабралес</t>
  </si>
  <si>
    <t>Espagne Asturies</t>
  </si>
  <si>
    <t>bleu mélange lait artisanal</t>
  </si>
  <si>
    <t>https://pubmed.ncbi.nlm.nih.gov/27287361/</t>
  </si>
  <si>
    <t>cabrales</t>
  </si>
  <si>
    <t>Combarros-Fuertes 2016 : Cabrales jusqu'à 800 mg/100g. Outlier extrême.</t>
  </si>
  <si>
    <t>TYR_108</t>
  </si>
  <si>
    <t>Queso fresco mexicain</t>
  </si>
  <si>
    <t>кесо фреско</t>
  </si>
  <si>
    <t>Mexique</t>
  </si>
  <si>
    <t>queso fresco</t>
  </si>
  <si>
    <t>Fromage frais : tyramine négligeable. Réhabilité.</t>
  </si>
  <si>
    <t>TYR_109</t>
  </si>
  <si>
    <t>Queso Oaxaca/quesillo</t>
  </si>
  <si>
    <t>оахака</t>
  </si>
  <si>
    <t>pâte filée frais</t>
  </si>
  <si>
    <t>oaxaca, quesillo</t>
  </si>
  <si>
    <t>Proche mozzarella fraîche.</t>
  </si>
  <si>
    <t>TYR_110</t>
  </si>
  <si>
    <t>Queso Cotija añejado</t>
  </si>
  <si>
    <t>котиха</t>
  </si>
  <si>
    <t>affiné brebis/vache</t>
  </si>
  <si>
    <t>cotija añejo</t>
  </si>
  <si>
    <t>Données HPLC directes absentes. Proxy brebis affiné.</t>
  </si>
  <si>
    <t>TYR_111</t>
  </si>
  <si>
    <t>Queso Chihuahua/menonita</t>
  </si>
  <si>
    <t>чиуауа</t>
  </si>
  <si>
    <t>semi-dur affiné</t>
  </si>
  <si>
    <t>chihuahua, menonita</t>
  </si>
  <si>
    <t>Proxy Gouda/Cheddar jeune.</t>
  </si>
  <si>
    <t>TYR_112</t>
  </si>
  <si>
    <t>Queso Panela</t>
  </si>
  <si>
    <t>панела</t>
  </si>
  <si>
    <t>panela</t>
  </si>
  <si>
    <t>Fromage frais à griller.</t>
  </si>
  <si>
    <t>TYR_113</t>
  </si>
  <si>
    <t>Requesón</t>
  </si>
  <si>
    <t>рекесон</t>
  </si>
  <si>
    <t>Mexique/Espagne</t>
  </si>
  <si>
    <t>petit-lait frais</t>
  </si>
  <si>
    <t>requesón</t>
  </si>
  <si>
    <t>Équivalent ricotta.</t>
  </si>
  <si>
    <t>TYR_114</t>
  </si>
  <si>
    <t>Queijo Minas frescal</t>
  </si>
  <si>
    <t>минас фрескал</t>
  </si>
  <si>
    <t>Brésil</t>
  </si>
  <si>
    <t>minas frescal</t>
  </si>
  <si>
    <t>Fromage frais brésilien majeur.</t>
  </si>
  <si>
    <t>TYR_115</t>
  </si>
  <si>
    <t>Queijo Coalho</t>
  </si>
  <si>
    <t>коалью</t>
  </si>
  <si>
    <t>Brésil Nordeste</t>
  </si>
  <si>
    <t>semi-dur à griller</t>
  </si>
  <si>
    <t>queijo coalho</t>
  </si>
  <si>
    <t>Proxy halloumi.</t>
  </si>
  <si>
    <t>TYR_116</t>
  </si>
  <si>
    <t>Queijo Canastra vieilli</t>
  </si>
  <si>
    <t>канастра</t>
  </si>
  <si>
    <t>Brésil Minas Gerais</t>
  </si>
  <si>
    <t>lait cru affiné</t>
  </si>
  <si>
    <t>canastra</t>
  </si>
  <si>
    <t>Lait cru + long affinage artisanal.</t>
  </si>
  <si>
    <t>TYR_117</t>
  </si>
  <si>
    <t>Shanklish libanais/syrien</t>
  </si>
  <si>
    <t>шанклиш</t>
  </si>
  <si>
    <t>Liban/Syrie</t>
  </si>
  <si>
    <t>boules affinées séchées</t>
  </si>
  <si>
    <t>shanklish, surke</t>
  </si>
  <si>
    <t>Équivalent culturel au fromage bleu. Confidence D.</t>
  </si>
  <si>
    <t>TYR_118</t>
  </si>
  <si>
    <t>Jibneh arabieh</t>
  </si>
  <si>
    <t>арабский сыр</t>
  </si>
  <si>
    <t>Moyen-Orient</t>
  </si>
  <si>
    <t>saumure traditionnelle</t>
  </si>
  <si>
    <t>jibneh arabieh</t>
  </si>
  <si>
    <t>Proxy halloumi/féta.</t>
  </si>
  <si>
    <t>TYR_119</t>
  </si>
  <si>
    <t>Chechil arménien fumé</t>
  </si>
  <si>
    <t>чечил</t>
  </si>
  <si>
    <t>Arménie</t>
  </si>
  <si>
    <t>filé fumé</t>
  </si>
  <si>
    <t>chechil</t>
  </si>
  <si>
    <t>Fromage filé fumé. Données HPLC absentes.</t>
  </si>
  <si>
    <t>TYR_120</t>
  </si>
  <si>
    <t>Chanakh arménien</t>
  </si>
  <si>
    <t>чанах</t>
  </si>
  <si>
    <t>brebis saumure</t>
  </si>
  <si>
    <t>chanakh</t>
  </si>
  <si>
    <t>Proxy féta brebis artisanale.</t>
  </si>
  <si>
    <t>TYR_121</t>
  </si>
  <si>
    <t>Motal arménien/azéri</t>
  </si>
  <si>
    <t>мотал</t>
  </si>
  <si>
    <t>Arménie/Azerbaïdjan</t>
  </si>
  <si>
    <t>saumure peau de mouton</t>
  </si>
  <si>
    <t>https://pubmed.ncbi.nlm.nih.gov/20105559/</t>
  </si>
  <si>
    <t>motal, motal peyniri</t>
  </si>
  <si>
    <t>Andiç 2010 PMID 20105559.</t>
  </si>
  <si>
    <t>TYR_122</t>
  </si>
  <si>
    <t>Adygeyski</t>
  </si>
  <si>
    <t>адыгейский</t>
  </si>
  <si>
    <t>Russie Caucase</t>
  </si>
  <si>
    <t>fromage frais caillé</t>
  </si>
  <si>
    <t>adygeyski</t>
  </si>
  <si>
    <t>Fromage frais circassien.</t>
  </si>
  <si>
    <t>TYR_123</t>
  </si>
  <si>
    <t>Paneer indien</t>
  </si>
  <si>
    <t>панир</t>
  </si>
  <si>
    <t>Inde</t>
  </si>
  <si>
    <t>frais caillage acide</t>
  </si>
  <si>
    <t>paneer</t>
  </si>
  <si>
    <t>Fromage frais sans fermentation.</t>
  </si>
  <si>
    <t>TYR_124</t>
  </si>
  <si>
    <t>Sufu / stinky tofu / chou doufu</t>
  </si>
  <si>
    <t>суфу</t>
  </si>
  <si>
    <t>Chine/Taïwan</t>
  </si>
  <si>
    <t>soja fermenté long</t>
  </si>
  <si>
    <t>https://pubmed.ncbi.nlm.nih.gov/11453290/</t>
  </si>
  <si>
    <t>sufu, stinky tofu, chou doufu</t>
  </si>
  <si>
    <t>Han BZ 2001-2013 : jusqu'à 500 mg/kg. Équivalent fonctionnel bleu affiné.</t>
  </si>
  <si>
    <t>TYR_125</t>
  </si>
  <si>
    <t>Chhurpi dur tibétain/népalais</t>
  </si>
  <si>
    <t>чхурпи</t>
  </si>
  <si>
    <t>Tibet/Népal</t>
  </si>
  <si>
    <t>yak séché très dur</t>
  </si>
  <si>
    <t>chhurpi</t>
  </si>
  <si>
    <t>Aucune étude HPLC. Prudence forte par défaut.</t>
  </si>
  <si>
    <t>TYR_126</t>
  </si>
  <si>
    <t>Wagashi/Warankashi</t>
  </si>
  <si>
    <t>ваганши</t>
  </si>
  <si>
    <t>Afrique Ouest Fulani</t>
  </si>
  <si>
    <t>frais caillé artisanal</t>
  </si>
  <si>
    <t>wagashi, warankashi</t>
  </si>
  <si>
    <t>Fromage frais peul. Données absentes.</t>
  </si>
  <si>
    <t>TYR_127</t>
  </si>
  <si>
    <t>Queso blanco/llanero vénézuélien</t>
  </si>
  <si>
    <t>льянеро</t>
  </si>
  <si>
    <t>Venezuela/Colombie</t>
  </si>
  <si>
    <t>semi-frais salé</t>
  </si>
  <si>
    <t>queso llanero, queso blanco</t>
  </si>
  <si>
    <t>Proxy queso fresco salé.</t>
  </si>
  <si>
    <t>TYR_128</t>
  </si>
  <si>
    <t>Prostokvasha</t>
  </si>
  <si>
    <t>простокваша</t>
  </si>
  <si>
    <t>Russie/Ukraine</t>
  </si>
  <si>
    <t>lait caillé spontané</t>
  </si>
  <si>
    <t>200 mL</t>
  </si>
  <si>
    <t>prostokvasha</t>
  </si>
  <si>
    <t>Proxy yaourt/kéfir.</t>
  </si>
  <si>
    <t>TYR_129</t>
  </si>
  <si>
    <t>Varenets</t>
  </si>
  <si>
    <t>варенец</t>
  </si>
  <si>
    <t>varenets</t>
  </si>
  <si>
    <t>Proxy ryazhenka.</t>
  </si>
  <si>
    <t>TYR_130</t>
  </si>
  <si>
    <t>Katyk</t>
  </si>
  <si>
    <t>катык</t>
  </si>
  <si>
    <t>Asie centrale</t>
  </si>
  <si>
    <t>lait fermenté traditionnel</t>
  </si>
  <si>
    <t>katyk</t>
  </si>
  <si>
    <t>Fermentation artisanale prolongée.</t>
  </si>
  <si>
    <t>TYR_131</t>
  </si>
  <si>
    <t>Ayran</t>
  </si>
  <si>
    <t>айран</t>
  </si>
  <si>
    <t>Turquie/Caucase</t>
  </si>
  <si>
    <t>yaourt dilué salé</t>
  </si>
  <si>
    <t>ayran, doogh</t>
  </si>
  <si>
    <t>Dilué, fermentation courte.</t>
  </si>
  <si>
    <t>TYR_132</t>
  </si>
  <si>
    <t>Doogh iranien</t>
  </si>
  <si>
    <t>дух</t>
  </si>
  <si>
    <t>Iran</t>
  </si>
  <si>
    <t>yaourt dilué herbes</t>
  </si>
  <si>
    <t>doogh</t>
  </si>
  <si>
    <t>Équivalent ayran.</t>
  </si>
  <si>
    <t>TYR_133</t>
  </si>
  <si>
    <t>Yaourt grec nature</t>
  </si>
  <si>
    <t>греческий йогурт</t>
  </si>
  <si>
    <t>Grèce/global</t>
  </si>
  <si>
    <t>yaourt égoutté</t>
  </si>
  <si>
    <t>greek yogurt</t>
  </si>
  <si>
    <t>Industriel pasteurisé : Vert. Shulman-Walker 1996 réhabilite.</t>
  </si>
  <si>
    <t>TYR_134</t>
  </si>
  <si>
    <t>Yaourt bulgare</t>
  </si>
  <si>
    <t>болгарский йогурт</t>
  </si>
  <si>
    <t>Bulgarie</t>
  </si>
  <si>
    <t>yaourt Lactobacillus bulgaricus</t>
  </si>
  <si>
    <t>bulgarian yogurt</t>
  </si>
  <si>
    <t>Industriel standardisé = Vert.</t>
  </si>
  <si>
    <t>TYR_135</t>
  </si>
  <si>
    <t>Skyr islandais</t>
  </si>
  <si>
    <t>скир</t>
  </si>
  <si>
    <t>Islande</t>
  </si>
  <si>
    <t>frais filtré acidifié</t>
  </si>
  <si>
    <t>skyr</t>
  </si>
  <si>
    <t>Produit frais égoutté.</t>
  </si>
  <si>
    <t>TYR_136</t>
  </si>
  <si>
    <t>Filmjölk suédois</t>
  </si>
  <si>
    <t>фильмьёлк</t>
  </si>
  <si>
    <t>Suède</t>
  </si>
  <si>
    <t>lait fermenté mésophile</t>
  </si>
  <si>
    <t>filmjolk</t>
  </si>
  <si>
    <t>Proxy yaourt industriel.</t>
  </si>
  <si>
    <t>TYR_137</t>
  </si>
  <si>
    <t>Matsoni géorgien</t>
  </si>
  <si>
    <t>мацони</t>
  </si>
  <si>
    <t>Géorgie</t>
  </si>
  <si>
    <t>yaourt géorgien traditionnel</t>
  </si>
  <si>
    <t>matsoni</t>
  </si>
  <si>
    <t>Version artisanale variable.</t>
  </si>
  <si>
    <t>TYR_138</t>
  </si>
  <si>
    <t>Koumis / airag</t>
  </si>
  <si>
    <t>кумыс</t>
  </si>
  <si>
    <t>lait jument fermenté alcool</t>
  </si>
  <si>
    <t>kumis, airag</t>
  </si>
  <si>
    <t>Fermentation alcoolique longue. Données HPLC absentes.</t>
  </si>
  <si>
    <t>TYR_139</t>
  </si>
  <si>
    <t>Dahi indien</t>
  </si>
  <si>
    <t>дахи</t>
  </si>
  <si>
    <t>yaourt traditionnel maison</t>
  </si>
  <si>
    <t>dahi, curd</t>
  </si>
  <si>
    <t>Version maison variable.</t>
  </si>
  <si>
    <t>TYR_140</t>
  </si>
  <si>
    <t>Salami Milano</t>
  </si>
  <si>
    <t>салями милано</t>
  </si>
  <si>
    <t>fermenté séché doux</t>
  </si>
  <si>
    <t>https://pubmed.ncbi.nlm.nih.gov/14527803/</t>
  </si>
  <si>
    <t>milano salami</t>
  </si>
  <si>
    <t>Catégorie smoked/pickled/aged/fermented meats. Outliers documentés. Noir systématique.</t>
  </si>
  <si>
    <t>TYR_141</t>
  </si>
  <si>
    <t>Salami Napoli piccante</t>
  </si>
  <si>
    <t>неаполитанская салями</t>
  </si>
  <si>
    <t>fermenté séché piquant</t>
  </si>
  <si>
    <t>napoli salami</t>
  </si>
  <si>
    <t>TYR_142</t>
  </si>
  <si>
    <t>Soppressata calabrese</t>
  </si>
  <si>
    <t>соппрессата</t>
  </si>
  <si>
    <t>Italie Calabre</t>
  </si>
  <si>
    <t>fermenté pressé</t>
  </si>
  <si>
    <t>soppressata</t>
  </si>
  <si>
    <t>TYR_143</t>
  </si>
  <si>
    <t>Finocchiona toscane</t>
  </si>
  <si>
    <t>финоккьона</t>
  </si>
  <si>
    <t>Italie Toscane</t>
  </si>
  <si>
    <t>fermenté fenouil</t>
  </si>
  <si>
    <t>finocchiona</t>
  </si>
  <si>
    <t>TYR_144</t>
  </si>
  <si>
    <t>Ventricina</t>
  </si>
  <si>
    <t>вентричина</t>
  </si>
  <si>
    <t>Italie Abruzzes</t>
  </si>
  <si>
    <t>fermenté piquant</t>
  </si>
  <si>
    <t>ventricina</t>
  </si>
  <si>
    <t>TYR_145</t>
  </si>
  <si>
    <t>'Nduja calabraise</t>
  </si>
  <si>
    <t>ндуя</t>
  </si>
  <si>
    <t>tartinable fermenté piquant</t>
  </si>
  <si>
    <t>25 g</t>
  </si>
  <si>
    <t>nduja</t>
  </si>
  <si>
    <t>TYR_146</t>
  </si>
  <si>
    <t>Rosette de Lyon</t>
  </si>
  <si>
    <t>розетт де лион</t>
  </si>
  <si>
    <t>saucisson sec long</t>
  </si>
  <si>
    <t>https://www.sciencedirect.com/science/article/abs/pii/S0278691516304185</t>
  </si>
  <si>
    <t>rosette</t>
  </si>
  <si>
    <t>TYR_147</t>
  </si>
  <si>
    <t>Jésus de Morteau</t>
  </si>
  <si>
    <t>жезю</t>
  </si>
  <si>
    <t>France Franche-Comté</t>
  </si>
  <si>
    <t>saucisse fermentée fumée</t>
  </si>
  <si>
    <t>jesus, saucisson morteau</t>
  </si>
  <si>
    <t>TYR_148</t>
  </si>
  <si>
    <t>Chorizo español cular curado</t>
  </si>
  <si>
    <t>чорисо кулар</t>
  </si>
  <si>
    <t>Espagne</t>
  </si>
  <si>
    <t>fermenté pimenté long</t>
  </si>
  <si>
    <t>chorizo cular</t>
  </si>
  <si>
    <t>TYR_149</t>
  </si>
  <si>
    <t>Chorizo ibérico de bellota</t>
  </si>
  <si>
    <t>чорисо иберико</t>
  </si>
  <si>
    <t>porc ibérique long affinage</t>
  </si>
  <si>
    <t>chorizo iberico bellota</t>
  </si>
  <si>
    <t>TYR_150</t>
  </si>
  <si>
    <t>Salchichón</t>
  </si>
  <si>
    <t>сальчичон</t>
  </si>
  <si>
    <t>fermenté paprika</t>
  </si>
  <si>
    <t>salchichon</t>
  </si>
  <si>
    <t>TYR_151</t>
  </si>
  <si>
    <t>Fuet catalan</t>
  </si>
  <si>
    <t>фуэт</t>
  </si>
  <si>
    <t>Espagne Catalogne</t>
  </si>
  <si>
    <t>petit sec fermenté</t>
  </si>
  <si>
    <t>fuet</t>
  </si>
  <si>
    <t>TYR_152</t>
  </si>
  <si>
    <t>Sobrasada de Mallorca</t>
  </si>
  <si>
    <t>собрасада</t>
  </si>
  <si>
    <t>Espagne Baléares</t>
  </si>
  <si>
    <t>tartinable porc piquant</t>
  </si>
  <si>
    <t>sobrasada</t>
  </si>
  <si>
    <t>TYR_153</t>
  </si>
  <si>
    <t>Chouriço portugais Estremoz</t>
  </si>
  <si>
    <t>шорисо</t>
  </si>
  <si>
    <t>Portugal</t>
  </si>
  <si>
    <t>https://pubmed.ncbi.nlm.nih.gov/20551633/</t>
  </si>
  <si>
    <t>chouriço, chorizo portugues</t>
  </si>
  <si>
    <t>TYR_154</t>
  </si>
  <si>
    <t>Painho de Portalegre PDO</t>
  </si>
  <si>
    <t>панью</t>
  </si>
  <si>
    <t>Portugal Alentejo</t>
  </si>
  <si>
    <t>fermenté porc Alentejano</t>
  </si>
  <si>
    <t>painho portalegre</t>
  </si>
  <si>
    <t>TYR_155</t>
  </si>
  <si>
    <t>Landjäger allemand/suisse</t>
  </si>
  <si>
    <t>ланджегер</t>
  </si>
  <si>
    <t>Allemagne/Suisse</t>
  </si>
  <si>
    <t>saucisse fermentée fumée plate</t>
  </si>
  <si>
    <t>https://pubmed.ncbi.nlm.nih.gov/32338740/</t>
  </si>
  <si>
    <t>landjaeger, landjäger</t>
  </si>
  <si>
    <t>TYR_156</t>
  </si>
  <si>
    <t>Cervelat sec</t>
  </si>
  <si>
    <t>сервелат сухой</t>
  </si>
  <si>
    <t>Suisse/Allemagne</t>
  </si>
  <si>
    <t>semi-fermenté</t>
  </si>
  <si>
    <t>cervelat</t>
  </si>
  <si>
    <t>TYR_157</t>
  </si>
  <si>
    <t>Pepperoni américain</t>
  </si>
  <si>
    <t>пепперони</t>
  </si>
  <si>
    <t>USA</t>
  </si>
  <si>
    <t>salami piquant pizza</t>
  </si>
  <si>
    <t>pepperoni, pizza pepperoni</t>
  </si>
  <si>
    <t>TYR_158</t>
  </si>
  <si>
    <t>Kulen serbe/slavonien</t>
  </si>
  <si>
    <t>кулен</t>
  </si>
  <si>
    <t>Serbie/Croatie</t>
  </si>
  <si>
    <t>porc fermenté paprika piment</t>
  </si>
  <si>
    <t>https://pubmed.ncbi.nlm.nih.gov/33043554/</t>
  </si>
  <si>
    <t>kulen, sremski kulen</t>
  </si>
  <si>
    <t>TYR_159</t>
  </si>
  <si>
    <t>Lukanka bulgare</t>
  </si>
  <si>
    <t>луканка</t>
  </si>
  <si>
    <t>fermenté séché plat</t>
  </si>
  <si>
    <t>lukanka</t>
  </si>
  <si>
    <t>TYR_160</t>
  </si>
  <si>
    <t>Prosciutto di Parma DOP</t>
  </si>
  <si>
    <t>пармская ветчина</t>
  </si>
  <si>
    <t>jambon cru long affinage</t>
  </si>
  <si>
    <t>https://pubmed.ncbi.nlm.nih.gov/17651827/</t>
  </si>
  <si>
    <t>parma ham, prosciutto parma</t>
  </si>
  <si>
    <t>Charcuterie long affinage. Valeurs typiques sur études .</t>
  </si>
  <si>
    <t>TYR_161</t>
  </si>
  <si>
    <t>Prosciutto San Daniele DOP</t>
  </si>
  <si>
    <t>сан даниэле</t>
  </si>
  <si>
    <t>jambon cru 13+ mois</t>
  </si>
  <si>
    <t>san daniele</t>
  </si>
  <si>
    <t>TYR_162</t>
  </si>
  <si>
    <t>Speck Alto Adige IGP</t>
  </si>
  <si>
    <t>шпек</t>
  </si>
  <si>
    <t>Italie Tyrol</t>
  </si>
  <si>
    <t>jambon fumé cru</t>
  </si>
  <si>
    <t>speck</t>
  </si>
  <si>
    <t>Charcuterie long affinage. Valeurs typiques sur études 8-MAOI_diet_drug_interactions_2019.pdf.</t>
  </si>
  <si>
    <t>TYR_163</t>
  </si>
  <si>
    <t>Jamón ibérico de bellota</t>
  </si>
  <si>
    <t>иберико де бельота</t>
  </si>
  <si>
    <t>ibérique gland 36-48 mois</t>
  </si>
  <si>
    <t>jamon iberico bellota</t>
  </si>
  <si>
    <t>Charcuterie long affinage. Valeurs typiques sur études S0278691516304185.</t>
  </si>
  <si>
    <t>TYR_164</t>
  </si>
  <si>
    <t>Jamón ibérico cebo</t>
  </si>
  <si>
    <t>иберико себо</t>
  </si>
  <si>
    <t>ibérique standard 24 mois</t>
  </si>
  <si>
    <t>jamon iberico cebo</t>
  </si>
  <si>
    <t>TYR_165</t>
  </si>
  <si>
    <t>Presunto portugais long affinage</t>
  </si>
  <si>
    <t>прешунту</t>
  </si>
  <si>
    <t>jambon cru 18+ mois</t>
  </si>
  <si>
    <t>presunto</t>
  </si>
  <si>
    <t>TYR_166</t>
  </si>
  <si>
    <t>Bresaola Valtellina IGP</t>
  </si>
  <si>
    <t>bœuf séché salé</t>
  </si>
  <si>
    <t>TYR_167</t>
  </si>
  <si>
    <t>Culatello di Zibello DOP</t>
  </si>
  <si>
    <t>кулателло</t>
  </si>
  <si>
    <t>cuissot cru long affinage</t>
  </si>
  <si>
    <t>culatello</t>
  </si>
  <si>
    <t>TYR_168</t>
  </si>
  <si>
    <t>Guanciale</t>
  </si>
  <si>
    <t>гуанчале</t>
  </si>
  <si>
    <t>joue porc séchée</t>
  </si>
  <si>
    <t>guanciale</t>
  </si>
  <si>
    <t>TYR_169</t>
  </si>
  <si>
    <t>Lomo embuchado ibérique</t>
  </si>
  <si>
    <t>ломо</t>
  </si>
  <si>
    <t>filet porc séché</t>
  </si>
  <si>
    <t>lomo embuchado</t>
  </si>
  <si>
    <t>TYR_170</t>
  </si>
  <si>
    <t>Biltong sud-africain</t>
  </si>
  <si>
    <t>бильтонг</t>
  </si>
  <si>
    <t>Afrique du Sud</t>
  </si>
  <si>
    <t>bœuf épicé séché rapide</t>
  </si>
  <si>
    <t>biltong</t>
  </si>
  <si>
    <t>Aucune étude HPLC publiée. Prudence forte par défaut, Noir.</t>
  </si>
  <si>
    <t>TYR_171</t>
  </si>
  <si>
    <t>Dry-aged beef 45-60 j</t>
  </si>
  <si>
    <t>выдержанная говядина 45-60 дней</t>
  </si>
  <si>
    <t>maturation sèche longue</t>
  </si>
  <si>
    <t>https://www.sciencedirect.com/science/article/pii/S0956713525008175</t>
  </si>
  <si>
    <t>dry-aged beef 45 days+</t>
  </si>
  <si>
    <t>Charcuterie long affinage. Valeurs typiques sur études S0956713525008175.</t>
  </si>
  <si>
    <t>TYR_172</t>
  </si>
  <si>
    <t>Truite fumée</t>
  </si>
  <si>
    <t>копчёная форель</t>
  </si>
  <si>
    <t>fumée à chaud</t>
  </si>
  <si>
    <t>smoked trout</t>
  </si>
  <si>
    <t>Proxy saumon fumé à chaud.</t>
  </si>
  <si>
    <t>TYR_173</t>
  </si>
  <si>
    <t>Anguille fumée</t>
  </si>
  <si>
    <t>копчёный угорь</t>
  </si>
  <si>
    <t>fumée à chaud grasse</t>
  </si>
  <si>
    <t>smoked eel</t>
  </si>
  <si>
    <t>Poisson gras fumé : accumulation scombroïde-like.</t>
  </si>
  <si>
    <t>TYR_174</t>
  </si>
  <si>
    <t>Kippers UK</t>
  </si>
  <si>
    <t>киппер</t>
  </si>
  <si>
    <t>hareng fumé à froid</t>
  </si>
  <si>
    <t>kippers</t>
  </si>
  <si>
    <t>Hareng fumé à froid britannique.</t>
  </si>
  <si>
    <t>TYR_175</t>
  </si>
  <si>
    <t>Finnan haddie</t>
  </si>
  <si>
    <t>финнан хэдди</t>
  </si>
  <si>
    <t>Écosse</t>
  </si>
  <si>
    <t>églefin fumé à froid</t>
  </si>
  <si>
    <t>finnan haddie</t>
  </si>
  <si>
    <t>Proxy hareng fumé à froid.</t>
  </si>
  <si>
    <t>TYR_176</t>
  </si>
  <si>
    <t>Matjes herring</t>
  </si>
  <si>
    <t>матье</t>
  </si>
  <si>
    <t>Europe du Nord</t>
  </si>
  <si>
    <t>matjes</t>
  </si>
  <si>
    <t>Maturation enzymatique courte.</t>
  </si>
  <si>
    <t>TYR_177</t>
  </si>
  <si>
    <t>Rollmops</t>
  </si>
  <si>
    <t>рольмопс</t>
  </si>
  <si>
    <t>Allemagne</t>
  </si>
  <si>
    <t>hareng mariné vinaigre roulé</t>
  </si>
  <si>
    <t>rollmops</t>
  </si>
  <si>
    <t>Acidification vinaigre limite mais n'annule pas.</t>
  </si>
  <si>
    <t>TYR_178</t>
  </si>
  <si>
    <t>Surströmming</t>
  </si>
  <si>
    <t>сурстрёмминг</t>
  </si>
  <si>
    <t>hareng fermenté lactique</t>
  </si>
  <si>
    <t>https://pubmed.ncbi.nlm.nih.gov/15871493/</t>
  </si>
  <si>
    <t>surstromming</t>
  </si>
  <si>
    <t>Poisson fermenté extrême. Interdit absolu.</t>
  </si>
  <si>
    <t>TYR_179</t>
  </si>
  <si>
    <t>Hákarl islandais</t>
  </si>
  <si>
    <t>хакарль</t>
  </si>
  <si>
    <t>requin fermenté 6 mois</t>
  </si>
  <si>
    <t>hakarl, kæstur hákarl</t>
  </si>
  <si>
    <t>Proxy surströmming. Absorption amines massive.</t>
  </si>
  <si>
    <t>TYR_180</t>
  </si>
  <si>
    <t>Rakfisk norvégien</t>
  </si>
  <si>
    <t>ракфиск</t>
  </si>
  <si>
    <t>Norvège</t>
  </si>
  <si>
    <t>truite fermentée 3-12 mois</t>
  </si>
  <si>
    <t>rakfisk, rakørret</t>
  </si>
  <si>
    <t>Fermentation lactique longue.</t>
  </si>
  <si>
    <t>TYR_181</t>
  </si>
  <si>
    <t>Bacalao séché salé</t>
  </si>
  <si>
    <t>баккалау</t>
  </si>
  <si>
    <t>morue séchée salée</t>
  </si>
  <si>
    <t>bacalao, salt cod</t>
  </si>
  <si>
    <t>Réhydraté avant consommation, dessalage partiel.</t>
  </si>
  <si>
    <t>TYR_182</t>
  </si>
  <si>
    <t>Bottarga/poutargue</t>
  </si>
  <si>
    <t>боттарга</t>
  </si>
  <si>
    <t>œufs mulet/thon séchés</t>
  </si>
  <si>
    <t>bottarga, poutargue</t>
  </si>
  <si>
    <t>Œufs de poisson séchés long salage.</t>
  </si>
  <si>
    <t>TYR_183</t>
  </si>
  <si>
    <t>Mentaiko/tarako japonais</t>
  </si>
  <si>
    <t>ментайко</t>
  </si>
  <si>
    <t>œufs lieu fermentés</t>
  </si>
  <si>
    <t>mentaiko, tarako</t>
  </si>
  <si>
    <t>Œufs de poisson fermentés.</t>
  </si>
  <si>
    <t>TYR_184</t>
  </si>
  <si>
    <t>Katsuobushi (flocons purs)</t>
  </si>
  <si>
    <t>кацуобуси</t>
  </si>
  <si>
    <t>bonite fermentée fumée séchée</t>
  </si>
  <si>
    <t>katsuobushi, bonito flakes</t>
  </si>
  <si>
    <t>En flocons purs = Rouge. En dashi 2-3 g/L = Vert.</t>
  </si>
  <si>
    <t>TYR_185</t>
  </si>
  <si>
    <t>Ikura (œufs saumon)</t>
  </si>
  <si>
    <t>икра красная</t>
  </si>
  <si>
    <t>Russie/Japon</t>
  </si>
  <si>
    <t>œufs saumon salés</t>
  </si>
  <si>
    <t>ikura, salmon roe</t>
  </si>
  <si>
    <t>Œufs salés crus.</t>
  </si>
  <si>
    <t>TYR_186</t>
  </si>
  <si>
    <t>Dried shrimp asiatique</t>
  </si>
  <si>
    <t>сушёные креветки</t>
  </si>
  <si>
    <t>Asie</t>
  </si>
  <si>
    <t>crevettes séchées entières</t>
  </si>
  <si>
    <t>dried shrimp, ebi</t>
  </si>
  <si>
    <t>Crevettes séchées concentrées.</t>
  </si>
  <si>
    <t>TYR_187</t>
  </si>
  <si>
    <t>Nam pla thaï</t>
  </si>
  <si>
    <t>нам пла</t>
  </si>
  <si>
    <t>Thaïlande</t>
  </si>
  <si>
    <t>poisson fermenté condiment</t>
  </si>
  <si>
    <t>nam pla, fish sauce thai</t>
  </si>
  <si>
    <t>Condiment fermenté concentré. Portion petite mais teneur élevée.</t>
  </si>
  <si>
    <t>TYR_188</t>
  </si>
  <si>
    <t>Patis philippin</t>
  </si>
  <si>
    <t>патис</t>
  </si>
  <si>
    <t>Philippines</t>
  </si>
  <si>
    <t>patis</t>
  </si>
  <si>
    <t>TYR_189</t>
  </si>
  <si>
    <t>Colatura di alici</t>
  </si>
  <si>
    <t>колатура</t>
  </si>
  <si>
    <t>Italie Cetara</t>
  </si>
  <si>
    <t>anchois fermentés liquide long affinage</t>
  </si>
  <si>
    <t>https://pubmed.ncbi.nlm.nih.gov/36613342/</t>
  </si>
  <si>
    <t>colatura, colatura cetara</t>
  </si>
  <si>
    <t>TYR_190</t>
  </si>
  <si>
    <t>Ngapi birman</t>
  </si>
  <si>
    <t>нгапи</t>
  </si>
  <si>
    <t>Myanmar</t>
  </si>
  <si>
    <t>pâte crevettes/poisson fermentée</t>
  </si>
  <si>
    <t>ngapi</t>
  </si>
  <si>
    <t>TYR_191</t>
  </si>
  <si>
    <t>Prahok cambodgien</t>
  </si>
  <si>
    <t>прахок</t>
  </si>
  <si>
    <t>Cambodge</t>
  </si>
  <si>
    <t>pâte poisson fermenté</t>
  </si>
  <si>
    <t>prahok</t>
  </si>
  <si>
    <t>TYR_192</t>
  </si>
  <si>
    <t>Pla ra thaï</t>
  </si>
  <si>
    <t>пла ра</t>
  </si>
  <si>
    <t>poisson fermenté en saumure</t>
  </si>
  <si>
    <t>pla ra</t>
  </si>
  <si>
    <t>TYR_193</t>
  </si>
  <si>
    <t>Padaek laotien</t>
  </si>
  <si>
    <t>падек</t>
  </si>
  <si>
    <t>Laos</t>
  </si>
  <si>
    <t>poisson fermenté salé long</t>
  </si>
  <si>
    <t>padaek</t>
  </si>
  <si>
    <t>TYR_194</t>
  </si>
  <si>
    <t>Ika no shiokara</t>
  </si>
  <si>
    <t>сиокара</t>
  </si>
  <si>
    <t>viscères calmar fermentés</t>
  </si>
  <si>
    <t>shiokara</t>
  </si>
  <si>
    <t>TYR_195</t>
  </si>
  <si>
    <t>Saeujeot coréen</t>
  </si>
  <si>
    <t>сэуджот</t>
  </si>
  <si>
    <t>crevettes fermentées saumure</t>
  </si>
  <si>
    <t>saeujeot</t>
  </si>
  <si>
    <t>TYR_196</t>
  </si>
  <si>
    <t>Myeolchi-jeot coréen</t>
  </si>
  <si>
    <t>мёлчи-джот</t>
  </si>
  <si>
    <t>anchois fermentés saumure</t>
  </si>
  <si>
    <t>myeolchi-jeot</t>
  </si>
  <si>
    <t>TYR_197</t>
  </si>
  <si>
    <t>Myeongnan-jeot coréen</t>
  </si>
  <si>
    <t>мёнран-джот</t>
  </si>
  <si>
    <t>œufs colin fermentés pimentés</t>
  </si>
  <si>
    <t>myeongnan-jeot</t>
  </si>
  <si>
    <t>TYR_198</t>
  </si>
  <si>
    <t>Bagoong alamang</t>
  </si>
  <si>
    <t>багонг аламанг</t>
  </si>
  <si>
    <t>krill/crevettes fermentés</t>
  </si>
  <si>
    <t>bagoong alamang</t>
  </si>
  <si>
    <t>TYR_199</t>
  </si>
  <si>
    <t>Kapi thaï</t>
  </si>
  <si>
    <t>капи</t>
  </si>
  <si>
    <t>pâte crevettes fermentée</t>
  </si>
  <si>
    <t>kapi</t>
  </si>
  <si>
    <t>TYR_200</t>
  </si>
  <si>
    <t>Belacan malaisien</t>
  </si>
  <si>
    <t>белачан</t>
  </si>
  <si>
    <t>Malaisie</t>
  </si>
  <si>
    <t>pâte crevettes fermentée séchée</t>
  </si>
  <si>
    <t>belacan, blachan</t>
  </si>
  <si>
    <t>TYR_201</t>
  </si>
  <si>
    <t>Terasi indonésien</t>
  </si>
  <si>
    <t>тераси</t>
  </si>
  <si>
    <t>Indonésie</t>
  </si>
  <si>
    <t>terasi, trassi</t>
  </si>
  <si>
    <t>TYR_202</t>
  </si>
  <si>
    <t>Kapusta kiszona polonaise</t>
  </si>
  <si>
    <t>квашеная капуста польская</t>
  </si>
  <si>
    <t>Pologne</t>
  </si>
  <si>
    <t>choucroute lacto</t>
  </si>
  <si>
    <t>polish sauerkraut</t>
  </si>
  <si>
    <t>Proche sauerkraut allemand. Fermentation traditionnelle.</t>
  </si>
  <si>
    <t>TYR_203</t>
  </si>
  <si>
    <t>Kkakdugi (kimchi radis)</t>
  </si>
  <si>
    <t>ккактуги</t>
  </si>
  <si>
    <t>radis cubé lacto-fermenté pimenté</t>
  </si>
  <si>
    <t>kkakdugi</t>
  </si>
  <si>
    <t>Kimchi de radis daikon.</t>
  </si>
  <si>
    <t>TYR_204</t>
  </si>
  <si>
    <t>Oi kimchi (concombre)</t>
  </si>
  <si>
    <t>ой кимчхи</t>
  </si>
  <si>
    <t>concombre lacto pimenté</t>
  </si>
  <si>
    <t>oi kimchi</t>
  </si>
  <si>
    <t>Kimchi concombre court vieillissement.</t>
  </si>
  <si>
    <t>TYR_205</t>
  </si>
  <si>
    <t>Chonggak kimchi (radis jeune)</t>
  </si>
  <si>
    <t>чхонгак кимчхи</t>
  </si>
  <si>
    <t>petit radis lacto</t>
  </si>
  <si>
    <t>60 g</t>
  </si>
  <si>
    <t>chonggak kimchi</t>
  </si>
  <si>
    <t>Radis jeune avec tige lacto.</t>
  </si>
  <si>
    <t>TYR_206</t>
  </si>
  <si>
    <t>Pa kimchi (ciboule)</t>
  </si>
  <si>
    <t>пха кимчхи</t>
  </si>
  <si>
    <t>ciboule lacto très épicée</t>
  </si>
  <si>
    <t>pa kimchi</t>
  </si>
  <si>
    <t>Kimchi d'échalote/ciboule. Outlier élevé.</t>
  </si>
  <si>
    <t>TYR_207</t>
  </si>
  <si>
    <t>Gat kimchi (moutarde)</t>
  </si>
  <si>
    <t>кат кимчхи</t>
  </si>
  <si>
    <t>moutarde lacto long</t>
  </si>
  <si>
    <t>gat kimchi</t>
  </si>
  <si>
    <t>Feuilles de moutarde lacto.</t>
  </si>
  <si>
    <t>TYR_208</t>
  </si>
  <si>
    <t>Mul kimchi (eau)</t>
  </si>
  <si>
    <t>муль кимчхи</t>
  </si>
  <si>
    <t>radis/chou dans eau</t>
  </si>
  <si>
    <t>100 mL</t>
  </si>
  <si>
    <t>mul kimchi</t>
  </si>
  <si>
    <t>Version liquide moins concentrée.</t>
  </si>
  <si>
    <t>TYR_209</t>
  </si>
  <si>
    <t>Baek kimchi (blanc)</t>
  </si>
  <si>
    <t>пэк кимчхи</t>
  </si>
  <si>
    <t>chou lacto sans piment</t>
  </si>
  <si>
    <t>baek kimchi</t>
  </si>
  <si>
    <t>Kimchi blanc sans piment.</t>
  </si>
  <si>
    <t>TYR_210</t>
  </si>
  <si>
    <t>Pao cai Sichuan</t>
  </si>
  <si>
    <t>пао цай</t>
  </si>
  <si>
    <t>Chine Sichuan</t>
  </si>
  <si>
    <t>légumes lacto saumure épicée</t>
  </si>
  <si>
    <t>https://pubmed.ncbi.nlm.nih.gov/29444008/</t>
  </si>
  <si>
    <t>pao cai, suan cai</t>
  </si>
  <si>
    <t>Fermentation lactique prolongée sichuanaise.</t>
  </si>
  <si>
    <t>TYR_211</t>
  </si>
  <si>
    <t>Zha cai (mustard tuber)</t>
  </si>
  <si>
    <t>джа цай</t>
  </si>
  <si>
    <t>tubercule moutarde lacto salé</t>
  </si>
  <si>
    <t>zha cai</t>
  </si>
  <si>
    <t>Tubercule salé très fermenté.</t>
  </si>
  <si>
    <t>TYR_212</t>
  </si>
  <si>
    <t>Takuan</t>
  </si>
  <si>
    <t>такуан</t>
  </si>
  <si>
    <t>daikon lacto jaune long</t>
  </si>
  <si>
    <t>takuan</t>
  </si>
  <si>
    <t>Radis long salage long.</t>
  </si>
  <si>
    <t>TYR_213</t>
  </si>
  <si>
    <t>Umeboshi</t>
  </si>
  <si>
    <t>умэбоси</t>
  </si>
  <si>
    <t>prunes sel lacto vinaigrées</t>
  </si>
  <si>
    <t>umeboshi</t>
  </si>
  <si>
    <t>Prune ume salée fermentée long.</t>
  </si>
  <si>
    <t>TYR_214</t>
  </si>
  <si>
    <t>Nukazuke</t>
  </si>
  <si>
    <t>нукадзуке</t>
  </si>
  <si>
    <t>légumes son de riz fermenté</t>
  </si>
  <si>
    <t>nukazuke</t>
  </si>
  <si>
    <t>Fermentation son de riz.</t>
  </si>
  <si>
    <t>TYR_215</t>
  </si>
  <si>
    <t>Olives Kalamata</t>
  </si>
  <si>
    <t>каламата</t>
  </si>
  <si>
    <t>Grèce</t>
  </si>
  <si>
    <t>olives lacto saumure</t>
  </si>
  <si>
    <t>https://pubmed.ncbi.nlm.nih.gov/22098807/</t>
  </si>
  <si>
    <t>kalamata olives</t>
  </si>
  <si>
    <t>García-García 2000 : 5-300 mg/kg selon lots.</t>
  </si>
  <si>
    <t>TYR_216</t>
  </si>
  <si>
    <t>Olives Manzanilla espagnoles</t>
  </si>
  <si>
    <t>мансанилья</t>
  </si>
  <si>
    <t>olives lacto saumure verte</t>
  </si>
  <si>
    <t>manzanilla</t>
  </si>
  <si>
    <t>Olive verte espagnole standard.</t>
  </si>
  <si>
    <t>TYR_217</t>
  </si>
  <si>
    <t>Achaar mangue</t>
  </si>
  <si>
    <t>мангровый ачаар</t>
  </si>
  <si>
    <t>mangue huile piment vinaigre</t>
  </si>
  <si>
    <t>mango achaar, aam ka achar</t>
  </si>
  <si>
    <t>Lacto-fermentation prolongée : accumulation possible.</t>
  </si>
  <si>
    <t>TYR_218</t>
  </si>
  <si>
    <t>Achaar citron vert</t>
  </si>
  <si>
    <t>ачаар лайм</t>
  </si>
  <si>
    <t>Inde Sud</t>
  </si>
  <si>
    <t>citron huile/sel fermenté long</t>
  </si>
  <si>
    <t>lime pickle, nimbu achar</t>
  </si>
  <si>
    <t>TYR_219</t>
  </si>
  <si>
    <t>Achaar piment</t>
  </si>
  <si>
    <t>ачаар перец</t>
  </si>
  <si>
    <t>piments huile épices</t>
  </si>
  <si>
    <t>chili pickle</t>
  </si>
  <si>
    <t>TYR_220</t>
  </si>
  <si>
    <t>Chhundo gujarati</t>
  </si>
  <si>
    <t>чхундо</t>
  </si>
  <si>
    <t>Inde Gujarat</t>
  </si>
  <si>
    <t>mangue rapée sucre épices</t>
  </si>
  <si>
    <t>chhundo, chundo</t>
  </si>
  <si>
    <t>TYR_221</t>
  </si>
  <si>
    <t>Suan cai chinois</t>
  </si>
  <si>
    <t>суань цай</t>
  </si>
  <si>
    <t>chou moutarde fermenté sec</t>
  </si>
  <si>
    <t>suan cai</t>
  </si>
  <si>
    <t>TYR_222</t>
  </si>
  <si>
    <t>Beni shoga (gingembre rouge)</t>
  </si>
  <si>
    <t>бени шога</t>
  </si>
  <si>
    <t>gingembre vinaigre rouge</t>
  </si>
  <si>
    <t>beni shoga</t>
  </si>
  <si>
    <t>Pickle à l'huile/acide : fermentation inhibée par pH.</t>
  </si>
  <si>
    <t>TYR_223</t>
  </si>
  <si>
    <t>Gari (gingembre sushi)</t>
  </si>
  <si>
    <t>гари</t>
  </si>
  <si>
    <t>gingembre vinaigre sucre</t>
  </si>
  <si>
    <t>gari, sushi ginger</t>
  </si>
  <si>
    <t>TYR_224</t>
  </si>
  <si>
    <t>Nozawana-zuke</t>
  </si>
  <si>
    <t>нодзавана</t>
  </si>
  <si>
    <t>feuilles moutarde lacto</t>
  </si>
  <si>
    <t>nozawanazuke</t>
  </si>
  <si>
    <t>TYR_225</t>
  </si>
  <si>
    <t>Dua muoi vietnamien</t>
  </si>
  <si>
    <t>зуа муой</t>
  </si>
  <si>
    <t>Vietnam</t>
  </si>
  <si>
    <t>moutarde lacto condiment</t>
  </si>
  <si>
    <t>dua muoi, pickled mustard greens</t>
  </si>
  <si>
    <t>TYR_226</t>
  </si>
  <si>
    <t>Pousses bambou fermentées (soibum)</t>
  </si>
  <si>
    <t>сойбум бамбук</t>
  </si>
  <si>
    <t>Inde NE/Asie SE</t>
  </si>
  <si>
    <t>bambou lacto long</t>
  </si>
  <si>
    <t>https://www.nature.com/articles/s41538-022-00130-w</t>
  </si>
  <si>
    <t>soibum, fermented bamboo shoots</t>
  </si>
  <si>
    <t>TYR_227</t>
  </si>
  <si>
    <t>Tofu frais ferme</t>
  </si>
  <si>
    <t>тофу свежий</t>
  </si>
  <si>
    <t>Asie/global</t>
  </si>
  <si>
    <t>soja caillé non fermenté</t>
  </si>
  <si>
    <t>https://sniglobal.org/many-soyfoods-suitable-for-low-tyramine-diets/</t>
  </si>
  <si>
    <t>tofu, firm tofu</t>
  </si>
  <si>
    <t>Shulman 1989 : 100g tofu = 0,8 mg. Vert.</t>
  </si>
  <si>
    <t>TYR_228</t>
  </si>
  <si>
    <t>Edamame</t>
  </si>
  <si>
    <t>эдамамэ</t>
  </si>
  <si>
    <t>soja frais bouilli</t>
  </si>
  <si>
    <t>edamame</t>
  </si>
  <si>
    <t>Soja frais non fermenté.</t>
  </si>
  <si>
    <t>TYR_229</t>
  </si>
  <si>
    <t>Miso shiro (blanc)</t>
  </si>
  <si>
    <t>мисо сиро</t>
  </si>
  <si>
    <t>pâte soja jeune</t>
  </si>
  <si>
    <t>https://pubmed.ncbi.nlm.nih.gov/22063060/</t>
  </si>
  <si>
    <t>miso shiro, white miso</t>
  </si>
  <si>
    <t>Miso court fermentation, plus doux.</t>
  </si>
  <si>
    <t>TYR_230</t>
  </si>
  <si>
    <t>Miso aka/rouge</t>
  </si>
  <si>
    <t>мисо ака</t>
  </si>
  <si>
    <t>pâte soja long fermenté rouge</t>
  </si>
  <si>
    <t>miso aka, red miso</t>
  </si>
  <si>
    <t>Miso long (&gt;1 an) : accumulation forte.</t>
  </si>
  <si>
    <t>TYR_231</t>
  </si>
  <si>
    <t>Miso hatcho</t>
  </si>
  <si>
    <t>мисо хаттё</t>
  </si>
  <si>
    <t>pâte soja pur long fermentation</t>
  </si>
  <si>
    <t>miso hatcho</t>
  </si>
  <si>
    <t>Miso pur soja 2+ ans.</t>
  </si>
  <si>
    <t>TYR_232</t>
  </si>
  <si>
    <t>Miso mugi (orge)</t>
  </si>
  <si>
    <t>мисо муги</t>
  </si>
  <si>
    <t>soja+orge fermenté</t>
  </si>
  <si>
    <t>miso mugi</t>
  </si>
  <si>
    <t>Miso mélange avec orge.</t>
  </si>
  <si>
    <t>TYR_233</t>
  </si>
  <si>
    <t>Doenjang industriel</t>
  </si>
  <si>
    <t>твенджан пром.</t>
  </si>
  <si>
    <t>pâte soja fermentée standardisée</t>
  </si>
  <si>
    <t>https://pubmed.ncbi.nlm.nih.gov/22980868/</t>
  </si>
  <si>
    <t>doenjang industrial</t>
  </si>
  <si>
    <t>Doenjang commercial standardisé.</t>
  </si>
  <si>
    <t>TYR_234</t>
  </si>
  <si>
    <t>Doenjang traditionnel 2-5 ans</t>
  </si>
  <si>
    <t>твенджан традиционный</t>
  </si>
  <si>
    <t>pâte soja fermentée artisanale long</t>
  </si>
  <si>
    <t>traditional doenjang, meju-based</t>
  </si>
  <si>
    <t>Tamang 2010 : moyenne 1266 mg/kg n=23. Outliers &gt;3000 mg/kg.</t>
  </si>
  <si>
    <t>TYR_235</t>
  </si>
  <si>
    <t>Doubanjiang Pixian</t>
  </si>
  <si>
    <t>дубаньцзян писянь</t>
  </si>
  <si>
    <t>fèves fermentées piment long</t>
  </si>
  <si>
    <t>pixian doubanjiang</t>
  </si>
  <si>
    <t>Version Pixian longue fermentation.</t>
  </si>
  <si>
    <t>TYR_236</t>
  </si>
  <si>
    <t>Tianmianjiang</t>
  </si>
  <si>
    <t>тяньмяньцзян</t>
  </si>
  <si>
    <t>pâte haricot jaune sweet</t>
  </si>
  <si>
    <t>tianmianjiang, sweet bean paste</t>
  </si>
  <si>
    <t>Proxy doubanjiang doux.</t>
  </si>
  <si>
    <t>TYR_237</t>
  </si>
  <si>
    <t>Sauce soja koikuchi</t>
  </si>
  <si>
    <t>соевый соус коикути</t>
  </si>
  <si>
    <t>standard japonais long</t>
  </si>
  <si>
    <t>koikuchi shoyu</t>
  </si>
  <si>
    <t>Walker 1996 : 94 mg/100 mL. 1 c.à s. = 5-10 mg.</t>
  </si>
  <si>
    <t>TYR_238</t>
  </si>
  <si>
    <t>Sauce soja usukuchi</t>
  </si>
  <si>
    <t>усукути</t>
  </si>
  <si>
    <t>light japonaise</t>
  </si>
  <si>
    <t>usukuchi shoyu</t>
  </si>
  <si>
    <t>Version light mais fermentée.</t>
  </si>
  <si>
    <t>TYR_239</t>
  </si>
  <si>
    <t>Saishikomi shoyu</t>
  </si>
  <si>
    <t>сайсикоми</t>
  </si>
  <si>
    <t>double fermentation premium</t>
  </si>
  <si>
    <t>saishikomi shoyu, re-brewed soy</t>
  </si>
  <si>
    <t>Double fermentation = plus concentré.</t>
  </si>
  <si>
    <t>TYR_240</t>
  </si>
  <si>
    <t>Sauce soja chinoise dark</t>
  </si>
  <si>
    <t>тёмный китайский соевый</t>
  </si>
  <si>
    <t>long vieillissement mélasse</t>
  </si>
  <si>
    <t>chinese dark soy, lao chou</t>
  </si>
  <si>
    <t>Version chinoise foncée épaissie.</t>
  </si>
  <si>
    <t>TYR_241</t>
  </si>
  <si>
    <t>Kecap manis</t>
  </si>
  <si>
    <t>кечап манис</t>
  </si>
  <si>
    <t>soja sweet soja+sucre de palme</t>
  </si>
  <si>
    <t>kecap manis</t>
  </si>
  <si>
    <t>Dilué sucre mais fermenté.</t>
  </si>
  <si>
    <t>TYR_242</t>
  </si>
  <si>
    <t>Dawadawa / iru / netetou</t>
  </si>
  <si>
    <t>давадава</t>
  </si>
  <si>
    <t>Afrique Ouest</t>
  </si>
  <si>
    <t>locust bean fermenté Bacillus</t>
  </si>
  <si>
    <t>https://ifst.onlinelibrary.wiley.com/doi/abs/10.1111/ijfs.14724</t>
  </si>
  <si>
    <t>dawadawa, iru, netetou</t>
  </si>
  <si>
    <t>Parkouda 2009 : PEA 272, histamine 82 mg/kg. Proxy pour tyramine élevée.</t>
  </si>
  <si>
    <t>TYR_243</t>
  </si>
  <si>
    <t>Soumbala</t>
  </si>
  <si>
    <t>сумбала</t>
  </si>
  <si>
    <t>Parkia biglobosa fermenté Bacillus</t>
  </si>
  <si>
    <t>soumbala, sumbala</t>
  </si>
  <si>
    <t>Fermentation Bacillus prolongée.</t>
  </si>
  <si>
    <t>TYR_244</t>
  </si>
  <si>
    <t>Ogiri</t>
  </si>
  <si>
    <t>огири</t>
  </si>
  <si>
    <t>Nigeria</t>
  </si>
  <si>
    <t>graines melon fermentées</t>
  </si>
  <si>
    <t>ogiri</t>
  </si>
  <si>
    <t>Proxy dawadawa, Noir par précaution.</t>
  </si>
  <si>
    <t>TYR_245</t>
  </si>
  <si>
    <t>Ugba/ukpaka</t>
  </si>
  <si>
    <t>угба</t>
  </si>
  <si>
    <t>graines Afzelia fermentées</t>
  </si>
  <si>
    <t>ugba, ukpaka</t>
  </si>
  <si>
    <t>Graines Afzelia africana fermentées.</t>
  </si>
  <si>
    <t>TYR_246</t>
  </si>
  <si>
    <t>Fèves fraîches cuites</t>
  </si>
  <si>
    <t>бобы свежие варёные</t>
  </si>
  <si>
    <t>cuites</t>
  </si>
  <si>
    <t>https://www.ncbi.nlm.nih.gov/books/NBK554508/</t>
  </si>
  <si>
    <t>cooked fava beans, broad beans</t>
  </si>
  <si>
    <t>Mécanisme L-DOPA principal, PAS tyramine. Crises hypertensives documentées.</t>
  </si>
  <si>
    <t>TYR_247</t>
  </si>
  <si>
    <t>Fèves séchées cuites</t>
  </si>
  <si>
    <t>бобы сушёные варёные</t>
  </si>
  <si>
    <t>séchées cuites</t>
  </si>
  <si>
    <t>dried fava beans cooked</t>
  </si>
  <si>
    <t>Même mécanisme L-DOPA.</t>
  </si>
  <si>
    <t>TYR_248</t>
  </si>
  <si>
    <t>Fèves jeunes en gousse (broad bean pods)</t>
  </si>
  <si>
    <t>бобы молодые в стручке</t>
  </si>
  <si>
    <t>gousse entière fraîche</t>
  </si>
  <si>
    <t>broad bean pods, fava pods</t>
  </si>
  <si>
    <t>Catégorie FDA explicite. Cosse contient L-DOPA 200-300 mg/100g (Johns &amp; Hertzler).</t>
  </si>
  <si>
    <t>TYR_249</t>
  </si>
  <si>
    <t>Pain au levain long-fermenté</t>
  </si>
  <si>
    <t>хлеб на закваске</t>
  </si>
  <si>
    <t>levain naturel long</t>
  </si>
  <si>
    <t>https://pubmed.ncbi.nlm.nih.gov/25182933/</t>
  </si>
  <si>
    <t>sourdough</t>
  </si>
  <si>
    <t>Diana 2014 : &lt;10 mg/kg tyramine. Vert limité.</t>
  </si>
  <si>
    <t>TYR_250</t>
  </si>
  <si>
    <t>Pain de seigle russe borodinsky</t>
  </si>
  <si>
    <t>бородинский</t>
  </si>
  <si>
    <t>seigle levain long</t>
  </si>
  <si>
    <t>borodinsky, darnitsky</t>
  </si>
  <si>
    <t>Pain seigle long fermentation.</t>
  </si>
  <si>
    <t>TYR_251</t>
  </si>
  <si>
    <t>Injera éthiopien</t>
  </si>
  <si>
    <t>инджера</t>
  </si>
  <si>
    <t>Éthiopie</t>
  </si>
  <si>
    <t>teff fermenté long</t>
  </si>
  <si>
    <t>injera</t>
  </si>
  <si>
    <t>Fermentation 2-3 jours mais pain consommé en grandes quantités.</t>
  </si>
  <si>
    <t>TYR_252</t>
  </si>
  <si>
    <t>Pâte dosa/idli (riz+lentilles)</t>
  </si>
  <si>
    <t>доса батер</t>
  </si>
  <si>
    <t>riz+lentilles fermenté naturel</t>
  </si>
  <si>
    <t>dosa, idli batter</t>
  </si>
  <si>
    <t>Fermentation courte.</t>
  </si>
  <si>
    <t>TYR_253</t>
  </si>
  <si>
    <t>Kenkey ghanéen</t>
  </si>
  <si>
    <t>кенки</t>
  </si>
  <si>
    <t>Ghana</t>
  </si>
  <si>
    <t>maïs fermenté boule cuite</t>
  </si>
  <si>
    <t>kenkey</t>
  </si>
  <si>
    <t>Aucune étude HPLC identifiée.</t>
  </si>
  <si>
    <t>TYR_254</t>
  </si>
  <si>
    <t>Kisra soudanais</t>
  </si>
  <si>
    <t>кисра</t>
  </si>
  <si>
    <t>Soudan</t>
  </si>
  <si>
    <t>sorgho fermenté crêpe</t>
  </si>
  <si>
    <t>kisra</t>
  </si>
  <si>
    <t>Sorgho fermenté long. Putrescine 26,88 mg/kg (MDPI 2024).</t>
  </si>
  <si>
    <t>TYR_255</t>
  </si>
  <si>
    <t>Banane très mûre noircie</t>
  </si>
  <si>
    <t>банан переспелый</t>
  </si>
  <si>
    <t>surmûr</t>
  </si>
  <si>
    <t>https://pubmed.ncbi.nlm.nih.gov/14434167/</t>
  </si>
  <si>
    <t>overripe banana, banane noircie</t>
  </si>
  <si>
    <t>Foy &amp; Parratt 1960 : 15-65 mg/100g. Catégorie FDA 'overripe fruits'.</t>
  </si>
  <si>
    <t>TYR_256</t>
  </si>
  <si>
    <t>Guacamole laissé à l'air ≥2h</t>
  </si>
  <si>
    <t>гуакамоле окисленный</t>
  </si>
  <si>
    <t>avocat exposé air</t>
  </si>
  <si>
    <t>guacamole oxidized</t>
  </si>
  <si>
    <t>Brunissement enzymatique favorise formation tyramine/dopamine.</t>
  </si>
  <si>
    <t>TYR_257</t>
  </si>
  <si>
    <t>Papaye très mûre</t>
  </si>
  <si>
    <t>папайя переспелая</t>
  </si>
  <si>
    <t>Tropical</t>
  </si>
  <si>
    <t>overripe papaya</t>
  </si>
  <si>
    <t>Proxy fruits surmûris.</t>
  </si>
  <si>
    <t>TYR_258</t>
  </si>
  <si>
    <t>Mangue très mûre</t>
  </si>
  <si>
    <t>манго переспелое</t>
  </si>
  <si>
    <t>overripe mango</t>
  </si>
  <si>
    <t>TYR_259</t>
  </si>
  <si>
    <t>Raisins secs (sultanines/Corinthe)</t>
  </si>
  <si>
    <t>изюм</t>
  </si>
  <si>
    <t>séché concentré</t>
  </si>
  <si>
    <t>https://www.accessdata.fda.gov/drugsatfda_docs/label/2009/011909s038lbl.pdf</t>
  </si>
  <si>
    <t>raisins, sultanas</t>
  </si>
  <si>
    <t>FDA Nardil cite explicitement 'raisins'.</t>
  </si>
  <si>
    <t>dried fruits if overripe</t>
  </si>
  <si>
    <t>TYR_260</t>
  </si>
  <si>
    <t>Pruneaux</t>
  </si>
  <si>
    <t>чернослив</t>
  </si>
  <si>
    <t>prune séchée</t>
  </si>
  <si>
    <t>prunes</t>
  </si>
  <si>
    <t>Prune séchée = fruit concentré.</t>
  </si>
  <si>
    <t>TYR_261</t>
  </si>
  <si>
    <t>Dates Medjool fraîches</t>
  </si>
  <si>
    <t>финики меджул</t>
  </si>
  <si>
    <t>dattes humides fraîches</t>
  </si>
  <si>
    <t>medjool dates</t>
  </si>
  <si>
    <t>Dattes fraîches humides.</t>
  </si>
  <si>
    <t>TYR_262</t>
  </si>
  <si>
    <t>Dates Deglet Nour séchées</t>
  </si>
  <si>
    <t>деглет нур</t>
  </si>
  <si>
    <t>Maghreb</t>
  </si>
  <si>
    <t>dattes séchées standard</t>
  </si>
  <si>
    <t>deglet nour dates</t>
  </si>
  <si>
    <t>Dattes séchées concentrées.</t>
  </si>
  <si>
    <t>TYR_263</t>
  </si>
  <si>
    <t>Figues séchées</t>
  </si>
  <si>
    <t>инжир сушёный</t>
  </si>
  <si>
    <t>dried figs</t>
  </si>
  <si>
    <t>Fruits séchés, valeur proportionnelle.</t>
  </si>
  <si>
    <t>TYR_264</t>
  </si>
  <si>
    <t>Durian très mûr</t>
  </si>
  <si>
    <t>дуриан переспелый</t>
  </si>
  <si>
    <t>Asie SE</t>
  </si>
  <si>
    <t>fruit très odorant surmûr</t>
  </si>
  <si>
    <t>overripe durian</t>
  </si>
  <si>
    <t>Données HPLC limitées. Proxy fruits surmûris tropicaux.</t>
  </si>
  <si>
    <t>TYR_265</t>
  </si>
  <si>
    <t>Chocolat noir 85-100%</t>
  </si>
  <si>
    <t>шоколад 85%</t>
  </si>
  <si>
    <t>cacao concentré</t>
  </si>
  <si>
    <t>dark chocolate 85%</t>
  </si>
  <si>
    <t>Gillman réhabilite chocolat. PEA domine mais faible MAO.</t>
  </si>
  <si>
    <t>TYR_266</t>
  </si>
  <si>
    <t>Chocolat au lait</t>
  </si>
  <si>
    <t>молочный шоколад</t>
  </si>
  <si>
    <t>cacao+lait+sucre</t>
  </si>
  <si>
    <t>milk chocolate</t>
  </si>
  <si>
    <t>Tyramine négligeable.</t>
  </si>
  <si>
    <t>TYR_267</t>
  </si>
  <si>
    <t>Nutella / pâte à tartiner cacao</t>
  </si>
  <si>
    <t>нутелла</t>
  </si>
  <si>
    <t>cacao+noisettes+huile</t>
  </si>
  <si>
    <t>nutella</t>
  </si>
  <si>
    <t>Pas de signal tyramine.</t>
  </si>
  <si>
    <t>TYR_268</t>
  </si>
  <si>
    <t>Cacao en poudre</t>
  </si>
  <si>
    <t>какао порошок</t>
  </si>
  <si>
    <t>pur concentré</t>
  </si>
  <si>
    <t>cocoa powder</t>
  </si>
  <si>
    <t>Concentré mais portion réduite.</t>
  </si>
  <si>
    <t>TYR_269</t>
  </si>
  <si>
    <t>Vegemite</t>
  </si>
  <si>
    <t>веджемайт</t>
  </si>
  <si>
    <t>Australie</t>
  </si>
  <si>
    <t>extrait levure autolysé</t>
  </si>
  <si>
    <t>https://psychotropical.com/wp-content/uploads/2019/09/9-MAOI-diet-short-2019.pdf</t>
  </si>
  <si>
    <t>vegemite</t>
  </si>
  <si>
    <t>Extrait levure autolysé concentré. Catégorie FDA explicite.</t>
  </si>
  <si>
    <t>TYR_270</t>
  </si>
  <si>
    <t>Cenovis</t>
  </si>
  <si>
    <t>сеновис</t>
  </si>
  <si>
    <t>extrait levure suisse</t>
  </si>
  <si>
    <t>cenovis</t>
  </si>
  <si>
    <t>Équivalent Marmite suisse.</t>
  </si>
  <si>
    <t>TYR_271</t>
  </si>
  <si>
    <t>Vitam-R</t>
  </si>
  <si>
    <t>витам-р</t>
  </si>
  <si>
    <t>extrait levure allemand</t>
  </si>
  <si>
    <t>vitam-r</t>
  </si>
  <si>
    <t>Équivalent extrait levure autolysé.</t>
  </si>
  <si>
    <t>TYR_272</t>
  </si>
  <si>
    <t>Levure nutritionnelle en flocons</t>
  </si>
  <si>
    <t>пищевые дрожжи</t>
  </si>
  <si>
    <t>levure inactive non autolysée</t>
  </si>
  <si>
    <t>nutritional yeast, nooch</t>
  </si>
  <si>
    <t>DISTINCTION CRUCIALE : inactive/non-fermentée ≠ Marmite. Gillman : Vert.</t>
  </si>
  <si>
    <t>TYR_273</t>
  </si>
  <si>
    <t>Bovril</t>
  </si>
  <si>
    <t>бовриль</t>
  </si>
  <si>
    <t>extrait bœuf historique</t>
  </si>
  <si>
    <t>bovril</t>
  </si>
  <si>
    <t>Extrait viande historique.</t>
  </si>
  <si>
    <t>TYR_274</t>
  </si>
  <si>
    <t>Oxo cube bœuf</t>
  </si>
  <si>
    <t>окско</t>
  </si>
  <si>
    <t>bouillon cube bœuf standardisé</t>
  </si>
  <si>
    <t>https://doi.org/10.1016/j.jfca.2005.12.008</t>
  </si>
  <si>
    <t>oxo cube</t>
  </si>
  <si>
    <t>McCabe-Sellers 2006 : bouillon cube moderne réhabilité.</t>
  </si>
  <si>
    <t>TYR_275</t>
  </si>
  <si>
    <t>Bouillon cube Knorr/Maggi</t>
  </si>
  <si>
    <t>кубик магги</t>
  </si>
  <si>
    <t>industriel standardisé</t>
  </si>
  <si>
    <t>knorr cube, maggi cube</t>
  </si>
  <si>
    <t>Bouillons modernes formulations basses tyramine.</t>
  </si>
  <si>
    <t>TYR_276</t>
  </si>
  <si>
    <t>Fond de veau/volaille industriel</t>
  </si>
  <si>
    <t>фонд телятины пром.</t>
  </si>
  <si>
    <t>concentré industriel</t>
  </si>
  <si>
    <t>veal stock, chicken stock</t>
  </si>
  <si>
    <t>Fonds concentrés industriels modernes.</t>
  </si>
  <si>
    <t>TYR_277</t>
  </si>
  <si>
    <t>Bière lager pasteurisée bouteille</t>
  </si>
  <si>
    <t>лагер бутылочное</t>
  </si>
  <si>
    <t>pasteurisée filtrée standard</t>
  </si>
  <si>
    <t>bottled lager</t>
  </si>
  <si>
    <t>Gillman/Gardner 1996 réhabilite bière bouteille. Vert limité.</t>
  </si>
  <si>
    <t>TYR_278</t>
  </si>
  <si>
    <t>Bière IPA craft non filtrée</t>
  </si>
  <si>
    <t>IPA крафтовая</t>
  </si>
  <si>
    <t>craft non filtrée</t>
  </si>
  <si>
    <t>IPA craft, unfiltered IPA</t>
  </si>
  <si>
    <t>Non filtrée/non pasteurisée = signal tap beer.</t>
  </si>
  <si>
    <t>TYR_279</t>
  </si>
  <si>
    <t>Bière de blé Weissbier</t>
  </si>
  <si>
    <t>пшеничное пиво</t>
  </si>
  <si>
    <t>blé non filtrée</t>
  </si>
  <si>
    <t>weissbier, weizen</t>
  </si>
  <si>
    <t>Bière trouble non filtrée.</t>
  </si>
  <si>
    <t>TYR_280</t>
  </si>
  <si>
    <t>Bière trappiste/abbaye</t>
  </si>
  <si>
    <t>траппистское пиво</t>
  </si>
  <si>
    <t>Belgique</t>
  </si>
  <si>
    <t>refermentée bouteille long</t>
  </si>
  <si>
    <t>trappist, abbey beer</t>
  </si>
  <si>
    <t>Refermentation bouteille = proche craft.</t>
  </si>
  <si>
    <t>TYR_281</t>
  </si>
  <si>
    <t>Lambic/gueuze belge</t>
  </si>
  <si>
    <t>ламбик</t>
  </si>
  <si>
    <t>fermentation spontanée</t>
  </si>
  <si>
    <t>lambic, gueuze</t>
  </si>
  <si>
    <t>Fermentation spontanée + vieillissement = outliers.</t>
  </si>
  <si>
    <t>TYR_282</t>
  </si>
  <si>
    <t>Sour/Kriek beer</t>
  </si>
  <si>
    <t>кислое пиво</t>
  </si>
  <si>
    <t>Belgique/craft</t>
  </si>
  <si>
    <t>souche Brettanomyces/lacto</t>
  </si>
  <si>
    <t>sour beer, kriek</t>
  </si>
  <si>
    <t>Acidité et fermentation multi-souches.</t>
  </si>
  <si>
    <t>TYR_283</t>
  </si>
  <si>
    <t>Bière sans alcool</t>
  </si>
  <si>
    <t>безалкогольное</t>
  </si>
  <si>
    <t>déshydratée alcool retiré</t>
  </si>
  <si>
    <t>non-alcoholic beer</t>
  </si>
  <si>
    <t>Signal tyramine équivalent bière bouteille pasteurisée.</t>
  </si>
  <si>
    <t>TYR_284</t>
  </si>
  <si>
    <t>Vin rouge Bordeaux/Cabernet</t>
  </si>
  <si>
    <t>красное бордо</t>
  </si>
  <si>
    <t>France/global</t>
  </si>
  <si>
    <t>vin rouge tannique</t>
  </si>
  <si>
    <t>https://pubmed.ncbi.nlm.nih.gov/10552634/</t>
  </si>
  <si>
    <t>bordeaux, cabernet sauvignon</t>
  </si>
  <si>
    <t>Soleas 1999 : typique 1-4 mg/L. Gillman tolère en modération.</t>
  </si>
  <si>
    <t>TYR_285</t>
  </si>
  <si>
    <t>Vin rouge Chianti DOCG</t>
  </si>
  <si>
    <t>кьянти</t>
  </si>
  <si>
    <t>vin rouge Sangiovese</t>
  </si>
  <si>
    <t>chianti</t>
  </si>
  <si>
    <t>FDA Nardil cite nominativement Chianti.</t>
  </si>
  <si>
    <t>TYR_286</t>
  </si>
  <si>
    <t>Vin orange/nature sans soufre</t>
  </si>
  <si>
    <t>натуральное вино</t>
  </si>
  <si>
    <t>macération pelures long vieillissement</t>
  </si>
  <si>
    <t>orange wine, natural wine</t>
  </si>
  <si>
    <t>Vins non soufrés : fermentation moins contrôlée.</t>
  </si>
  <si>
    <t>TYR_287</t>
  </si>
  <si>
    <t>Champagne/Prosecco/Cava</t>
  </si>
  <si>
    <t>шампанское</t>
  </si>
  <si>
    <t>France/Italie/Espagne</t>
  </si>
  <si>
    <t>effervescent méthode traditionnelle</t>
  </si>
  <si>
    <t>champagne, prosecco, cava</t>
  </si>
  <si>
    <t>Effervescents généralement bas.</t>
  </si>
  <si>
    <t>TYR_288</t>
  </si>
  <si>
    <t>Porto vintage/tawny</t>
  </si>
  <si>
    <t>портвейн</t>
  </si>
  <si>
    <t>fortifié long vieillissement</t>
  </si>
  <si>
    <t>60 mL</t>
  </si>
  <si>
    <t>port, porto</t>
  </si>
  <si>
    <t>Catégorie FDA 'fortified wines'.</t>
  </si>
  <si>
    <t>fortified wines</t>
  </si>
  <si>
    <t>TYR_289</t>
  </si>
  <si>
    <t>Xérès fino/oloroso</t>
  </si>
  <si>
    <t>херес</t>
  </si>
  <si>
    <t>fortifié oxydatif long</t>
  </si>
  <si>
    <t>sherry, jerez, fino, oloroso</t>
  </si>
  <si>
    <t>Oxydation + fortification.</t>
  </si>
  <si>
    <t>TYR_290</t>
  </si>
  <si>
    <t>Vermouth rouge/blanc</t>
  </si>
  <si>
    <t>вермут</t>
  </si>
  <si>
    <t>Italie/France</t>
  </si>
  <si>
    <t>aromatisé fortifié</t>
  </si>
  <si>
    <t>vermouth</t>
  </si>
  <si>
    <t>Catégorie FDA fortifiés.</t>
  </si>
  <si>
    <t>TYR_291</t>
  </si>
  <si>
    <t>Madère</t>
  </si>
  <si>
    <t>мадейра</t>
  </si>
  <si>
    <t>fortifié chauffé long</t>
  </si>
  <si>
    <t>madeira</t>
  </si>
  <si>
    <t>Équivalent Porto, chauffage = tyramine élevée.</t>
  </si>
  <si>
    <t>TYR_292</t>
  </si>
  <si>
    <t>Worcestershire (Lea &amp; Perrins)</t>
  </si>
  <si>
    <t>вустерский соус</t>
  </si>
  <si>
    <t>anchois+mélasse+vinaigre long</t>
  </si>
  <si>
    <t>5 mL</t>
  </si>
  <si>
    <t>worcestershire, lea &amp; perrins</t>
  </si>
  <si>
    <t>Contient anchois fermentés. Portion condiment faible.</t>
  </si>
  <si>
    <t>TYR_293</t>
  </si>
  <si>
    <t>HP Sauce</t>
  </si>
  <si>
    <t>HP соус</t>
  </si>
  <si>
    <t>sauce brune tomate vinaigre</t>
  </si>
  <si>
    <t>hp sauce</t>
  </si>
  <si>
    <t>Pas de fermentation active.</t>
  </si>
  <si>
    <t>TYR_294</t>
  </si>
  <si>
    <t>Tabasco classique</t>
  </si>
  <si>
    <t>табаско</t>
  </si>
  <si>
    <t>piments fermentés 3 ans vinaigre</t>
  </si>
  <si>
    <t>tabasco</t>
  </si>
  <si>
    <t>pH très acide inhibe décarboxylases.</t>
  </si>
  <si>
    <t>TYR_295</t>
  </si>
  <si>
    <t>Sriracha Huy Fong</t>
  </si>
  <si>
    <t>шрирача</t>
  </si>
  <si>
    <t>Vietnam/USA</t>
  </si>
  <si>
    <t>piment ail vinaigre</t>
  </si>
  <si>
    <t>sriracha</t>
  </si>
  <si>
    <t>Fermentation inhibée par vinaigre.</t>
  </si>
  <si>
    <t>TYR_296</t>
  </si>
  <si>
    <t>Sambal oelek</t>
  </si>
  <si>
    <t>самбал оэлек</t>
  </si>
  <si>
    <t>piments frais/sel acide</t>
  </si>
  <si>
    <t>sambal oelek</t>
  </si>
  <si>
    <t>Pas de longue fermentation.</t>
  </si>
  <si>
    <t>TYR_297</t>
  </si>
  <si>
    <t>Sambal belacan</t>
  </si>
  <si>
    <t>самбал белачан</t>
  </si>
  <si>
    <t>piment + belacan fermenté</t>
  </si>
  <si>
    <t>sambal belacan</t>
  </si>
  <si>
    <t>Contient pâte de crevettes fermentée = Noir.</t>
  </si>
  <si>
    <t>TYR_298</t>
  </si>
  <si>
    <t>Ketchup industriel</t>
  </si>
  <si>
    <t>кетчуп пром.</t>
  </si>
  <si>
    <t>tomate sucre vinaigre</t>
  </si>
  <si>
    <t>ketchup</t>
  </si>
  <si>
    <t>Tomate acidifiée, pas fermentée.</t>
  </si>
  <si>
    <t>TYR_299</t>
  </si>
  <si>
    <t>Harissa tunisienne</t>
  </si>
  <si>
    <t>хариса</t>
  </si>
  <si>
    <t>Tunisie</t>
  </si>
  <si>
    <t>pâte piment huile épices</t>
  </si>
  <si>
    <t>harissa</t>
  </si>
  <si>
    <t>TYR_300</t>
  </si>
  <si>
    <t>Ajvar serbe/balkan</t>
  </si>
  <si>
    <t>айвар</t>
  </si>
  <si>
    <t>Balkans</t>
  </si>
  <si>
    <t>poivrons aubergines rôtis broyés</t>
  </si>
  <si>
    <t>ajvar</t>
  </si>
  <si>
    <t>Légumes cuits purée.</t>
  </si>
  <si>
    <t>TYR_301</t>
  </si>
  <si>
    <t>Tkemali géorgien</t>
  </si>
  <si>
    <t>ткемали</t>
  </si>
  <si>
    <t>prunes vinaigrées fermentation courte</t>
  </si>
  <si>
    <t>tkemali</t>
  </si>
  <si>
    <t>Fermentation courte mais artisanale.</t>
  </si>
  <si>
    <t>TYR_302</t>
  </si>
  <si>
    <t>Vinaigre balsamique traditionnel 12+ ans</t>
  </si>
  <si>
    <t>бальзамический</t>
  </si>
  <si>
    <t>Italie Modena</t>
  </si>
  <si>
    <t>vinaigrage aérobie long</t>
  </si>
  <si>
    <t>aceto balsamico tradizionale</t>
  </si>
  <si>
    <t>Long vieillissement mais acidité.</t>
  </si>
  <si>
    <t>TYR_303</t>
  </si>
  <si>
    <t>Vinaigre noir Chinkiang</t>
  </si>
  <si>
    <t>черный китайский уксус</t>
  </si>
  <si>
    <t>riz noir fermenté long</t>
  </si>
  <si>
    <t>https://pubmed.ncbi.nlm.nih.gov/23871015/</t>
  </si>
  <si>
    <t>chinkiang vinegar, black vinegar</t>
  </si>
  <si>
    <t>Marcobal 2013 : 20-200 mg/L selon lots.</t>
  </si>
  <si>
    <t>TYR_304</t>
  </si>
  <si>
    <t>Saké junmai/ginjo</t>
  </si>
  <si>
    <t>сакэ</t>
  </si>
  <si>
    <t>riz fermenté filtré</t>
  </si>
  <si>
    <t>sake junmai, ginjo</t>
  </si>
  <si>
    <t>Fermentation riz prolongée.</t>
  </si>
  <si>
    <t>TYR_305</t>
  </si>
  <si>
    <t>Saké nigori non filtré</t>
  </si>
  <si>
    <t>нигори</t>
  </si>
  <si>
    <t>riz fermenté non filtré</t>
  </si>
  <si>
    <t>nigori sake</t>
  </si>
  <si>
    <t>Non filtré = proche craft.</t>
  </si>
  <si>
    <t>TYR_306</t>
  </si>
  <si>
    <t>Soju</t>
  </si>
  <si>
    <t>соджу</t>
  </si>
  <si>
    <t>alcool riz/patate distillé ou semi</t>
  </si>
  <si>
    <t>soju</t>
  </si>
  <si>
    <t>Si distillé = Vert ; version traditionnelle semi-fermentée variable.</t>
  </si>
  <si>
    <t>TYR_307</t>
  </si>
  <si>
    <t>Makgeolli non distillé</t>
  </si>
  <si>
    <t>макколи</t>
  </si>
  <si>
    <t>https://pubmed.ncbi.nlm.nih.gov/21793213/</t>
  </si>
  <si>
    <t>makgeolli, makkoli</t>
  </si>
  <si>
    <t>Kim 2011 : jusqu'à 60+ mg/L. À éviter.</t>
  </si>
  <si>
    <t>TYR_308</t>
  </si>
  <si>
    <t>Whisky single malt</t>
  </si>
  <si>
    <t>виски</t>
  </si>
  <si>
    <t>Écosse/global</t>
  </si>
  <si>
    <t>distillé vieilli fût</t>
  </si>
  <si>
    <t>whisky, scotch</t>
  </si>
  <si>
    <t>Distillation détruit tyramine.</t>
  </si>
  <si>
    <t>TYR_309</t>
  </si>
  <si>
    <t>Bourbon</t>
  </si>
  <si>
    <t>бурбон</t>
  </si>
  <si>
    <t>maïs distillé fût chêne</t>
  </si>
  <si>
    <t>bourbon</t>
  </si>
  <si>
    <t>TYR_310</t>
  </si>
  <si>
    <t>Tequila/mezcal</t>
  </si>
  <si>
    <t>текила</t>
  </si>
  <si>
    <t>agave distillé</t>
  </si>
  <si>
    <t>tequila, mezcal</t>
  </si>
  <si>
    <t>Distillation élimine tyramine.</t>
  </si>
  <si>
    <t>TYR_311</t>
  </si>
  <si>
    <t>Cognac/armagnac</t>
  </si>
  <si>
    <t>коньяк</t>
  </si>
  <si>
    <t>eau-de-vie vin distillée</t>
  </si>
  <si>
    <t>cognac, armagnac</t>
  </si>
  <si>
    <t>TYR_312</t>
  </si>
  <si>
    <t>Pisco péruvien</t>
  </si>
  <si>
    <t>писко</t>
  </si>
  <si>
    <t>Pérou/Chili</t>
  </si>
  <si>
    <t>raisin distillé non vieilli</t>
  </si>
  <si>
    <t>pisco</t>
  </si>
  <si>
    <t>Eau-de-vie de raisin.</t>
  </si>
  <si>
    <t>TYR_313</t>
  </si>
  <si>
    <t>Pulque mexicain</t>
  </si>
  <si>
    <t>пульке</t>
  </si>
  <si>
    <t>agave fermenté non distillé</t>
  </si>
  <si>
    <t>pulque</t>
  </si>
  <si>
    <t>Fermentation courte spontanée. Données HPLC absentes.</t>
  </si>
  <si>
    <t>TYR_314</t>
  </si>
  <si>
    <t>Bœuf frais bien réfrigéré</t>
  </si>
  <si>
    <t>говядина свежая</t>
  </si>
  <si>
    <t>frais &lt;4°C</t>
  </si>
  <si>
    <t>fresh beef</t>
  </si>
  <si>
    <t>Viande fraîche bien réfrigérée.</t>
  </si>
  <si>
    <t>TYR_315</t>
  </si>
  <si>
    <t>Porc frais</t>
  </si>
  <si>
    <t>свинина свежая</t>
  </si>
  <si>
    <t>fresh pork</t>
  </si>
  <si>
    <t>Viande porcine fraîche.</t>
  </si>
  <si>
    <t>TYR_316</t>
  </si>
  <si>
    <t>Poulet frais</t>
  </si>
  <si>
    <t>курица свежая</t>
  </si>
  <si>
    <t>volaille fraîche</t>
  </si>
  <si>
    <t>fresh chicken</t>
  </si>
  <si>
    <t>Volaille fraîche.</t>
  </si>
  <si>
    <t>TYR_317</t>
  </si>
  <si>
    <t>Viande hachée fin de DLC</t>
  </si>
  <si>
    <t>фарш конец срока</t>
  </si>
  <si>
    <t>hachée proche limite consommation</t>
  </si>
  <si>
    <t>ground beef end of life</t>
  </si>
  <si>
    <t>Contamination Enterobacter/Hafnia/Morganella décarboxylase-positives.</t>
  </si>
  <si>
    <t>TYR_318</t>
  </si>
  <si>
    <t>Foie de poulet frais</t>
  </si>
  <si>
    <t>куриная печень</t>
  </si>
  <si>
    <t>abat frais</t>
  </si>
  <si>
    <t>chicken liver</t>
  </si>
  <si>
    <t>Catégorie FDA 'liver'.</t>
  </si>
  <si>
    <t>TYR_319</t>
  </si>
  <si>
    <t>Foie gras mi-cuit</t>
  </si>
  <si>
    <t>фуа гра</t>
  </si>
  <si>
    <t>foie canard mi-cuit artisanal</t>
  </si>
  <si>
    <t>foie gras mi-cuit</t>
  </si>
  <si>
    <t>Long process + abat.</t>
  </si>
  <si>
    <t>TYR_320</t>
  </si>
  <si>
    <t>Pâté de campagne</t>
  </si>
  <si>
    <t>паштет загородный</t>
  </si>
  <si>
    <t>pâté rustique</t>
  </si>
  <si>
    <t>country pate</t>
  </si>
  <si>
    <t>Pâté contient foie.</t>
  </si>
  <si>
    <t>TYR_321</t>
  </si>
  <si>
    <t>Liverwurst / pâté foie porc</t>
  </si>
  <si>
    <t>ливервурст</t>
  </si>
  <si>
    <t>saucisse foie porc</t>
  </si>
  <si>
    <t>liverwurst, braunschweiger</t>
  </si>
  <si>
    <t>Saucisse foie.</t>
  </si>
  <si>
    <t>TYR_322</t>
  </si>
  <si>
    <t>Bacon fumé</t>
  </si>
  <si>
    <t>бекон</t>
  </si>
  <si>
    <t>porc fumé tranches</t>
  </si>
  <si>
    <t>bacon</t>
  </si>
  <si>
    <t>Historique FDA, Gillman réhabilite partiellement.</t>
  </si>
  <si>
    <t>TYR_323</t>
  </si>
  <si>
    <t>Montreal smoked meat</t>
  </si>
  <si>
    <t>монреальский смокед мит</t>
  </si>
  <si>
    <t>Canada</t>
  </si>
  <si>
    <t>bœuf saumuré fumé cuit</t>
  </si>
  <si>
    <t>montreal smoked meat</t>
  </si>
  <si>
    <t>Sandwich deli = portion élevée.</t>
  </si>
  <si>
    <t>TYR_324</t>
  </si>
  <si>
    <t>Pastrami NYC</t>
  </si>
  <si>
    <t>пастрома Нью-Йорк</t>
  </si>
  <si>
    <t>bœuf saumuré fumé cuit épicé</t>
  </si>
  <si>
    <t>new york pastrami</t>
  </si>
  <si>
    <t>Équivalent Montreal smoked meat.</t>
  </si>
  <si>
    <t>TYR_325</t>
  </si>
  <si>
    <t>Corned beef en conserve / Spam</t>
  </si>
  <si>
    <t>тушёнка/спам</t>
  </si>
  <si>
    <t>conserve appertisée stérilisée</t>
  </si>
  <si>
    <t>corned beef canned, spam</t>
  </si>
  <si>
    <t>Stérilisation bloque formation.</t>
  </si>
  <si>
    <t>canned meat – not restricted</t>
  </si>
  <si>
    <t>TYR_326</t>
  </si>
  <si>
    <t>Hot dogs / saucisses Francfort</t>
  </si>
  <si>
    <t>сосиски</t>
  </si>
  <si>
    <t>saucisse émulsion cuite</t>
  </si>
  <si>
    <t>hot dog, frankfurter</t>
  </si>
  <si>
    <t>Saucisse cuite émulsion.</t>
  </si>
  <si>
    <t>cooked sausage – not restricted</t>
  </si>
  <si>
    <t>TYR_327</t>
  </si>
  <si>
    <t>Thon frais</t>
  </si>
  <si>
    <t>тунец свежий</t>
  </si>
  <si>
    <t>frais réfrigéré</t>
  </si>
  <si>
    <t>fresh tuna</t>
  </si>
  <si>
    <t>Risque scombroïde principalement histamine.</t>
  </si>
  <si>
    <t>TYR_328</t>
  </si>
  <si>
    <t>Thon en conserve</t>
  </si>
  <si>
    <t>тунец консервированный</t>
  </si>
  <si>
    <t>appertisé huile/eau</t>
  </si>
  <si>
    <t>https://www.academia.edu/34573319/Biogenic_Amines_Content_of_Canned_Tuna_Fish_Marketed_in_Iran</t>
  </si>
  <si>
    <t>canned tuna</t>
  </si>
  <si>
    <t>Conserve stérile.</t>
  </si>
  <si>
    <t>canned fish – not restricted</t>
  </si>
  <si>
    <t>TYR_329</t>
  </si>
  <si>
    <t>Tempeh fumé/frit</t>
  </si>
  <si>
    <t>soja fermenté fumé/frit</t>
  </si>
  <si>
    <t>smoked tempeh, fried tempeh</t>
  </si>
  <si>
    <t>Variante tempeh avec traitement supplémentaire.</t>
  </si>
  <si>
    <t>TYR_330</t>
  </si>
  <si>
    <t>Yaourt nature industriel</t>
  </si>
  <si>
    <t>йогурт пром.</t>
  </si>
  <si>
    <t>pasteurisé fermenté court</t>
  </si>
  <si>
    <t>https://pubmed.ncbi.nlm.nih.gov/8601543/</t>
  </si>
  <si>
    <t>plain yogurt, yaourt nature</t>
  </si>
  <si>
    <t>Réhabilité par Shulman-Walker 1996.</t>
  </si>
  <si>
    <t>TYR_331</t>
  </si>
  <si>
    <t>Crème fraîche</t>
  </si>
  <si>
    <t>сметана</t>
  </si>
  <si>
    <t>France/Russie</t>
  </si>
  <si>
    <t>crème épaissie naturelle</t>
  </si>
  <si>
    <t>sour cream, creme fraiche</t>
  </si>
  <si>
    <t>Maturation courte.</t>
  </si>
  <si>
    <t>TYR_332</t>
  </si>
  <si>
    <t>Ghee indien</t>
  </si>
  <si>
    <t>гхи</t>
  </si>
  <si>
    <t>beurre clarifié</t>
  </si>
  <si>
    <t>ghee</t>
  </si>
  <si>
    <t>Matière grasse pure.</t>
  </si>
  <si>
    <t>TYR_333</t>
  </si>
  <si>
    <t>Smen maghrébin</t>
  </si>
  <si>
    <t>смен</t>
  </si>
  <si>
    <t>beurre fermenté long</t>
  </si>
  <si>
    <t>smen, samneh</t>
  </si>
  <si>
    <t>Beurre fermenté enterré long.</t>
  </si>
  <si>
    <t>TYR_334</t>
  </si>
  <si>
    <t>Jerky bœuf industriel</t>
  </si>
  <si>
    <t>séché épicé salé</t>
  </si>
  <si>
    <t>beef jerky</t>
  </si>
  <si>
    <t>Séchage long.</t>
  </si>
  <si>
    <t>TYR_335</t>
  </si>
  <si>
    <t>Salami sec artisanal</t>
  </si>
  <si>
    <t>салями артизанальная</t>
  </si>
  <si>
    <t>fermenté séché artisanal</t>
  </si>
  <si>
    <t>artisan salami</t>
  </si>
  <si>
    <t>Lots artisanaux = forte variabilité.</t>
  </si>
  <si>
    <t>TYR_336</t>
  </si>
  <si>
    <t>Poisson frais fin shelf-life</t>
  </si>
  <si>
    <t>рыба конец срока</t>
  </si>
  <si>
    <t>proche limite DLC</t>
  </si>
  <si>
    <t>fish end of shelf life</t>
  </si>
  <si>
    <t>Risque scombroïde + tyramine.</t>
  </si>
  <si>
    <t>TYR_337</t>
  </si>
  <si>
    <t>Huîtres fraîches</t>
  </si>
  <si>
    <t>устрицы</t>
  </si>
  <si>
    <t>bivalves crus vivants</t>
  </si>
  <si>
    <t>60 g (6 unités)</t>
  </si>
  <si>
    <t>fresh oysters</t>
  </si>
  <si>
    <t>Bivalves vivants frais.</t>
  </si>
  <si>
    <t>TYR_338</t>
  </si>
  <si>
    <t>Crevettes cuites fraîches</t>
  </si>
  <si>
    <t>креветки варёные</t>
  </si>
  <si>
    <t>cuites réfrigérées</t>
  </si>
  <si>
    <t>cooked shrimp</t>
  </si>
  <si>
    <t>Différent des crevettes séchées/pâte.</t>
  </si>
  <si>
    <t>Seuils cliniques — phénelzine et tyramine orale</t>
  </si>
  <si>
    <t>Paramètre clinique</t>
  </si>
  <si>
    <t>Valeur / interprétation</t>
  </si>
  <si>
    <t>Source</t>
  </si>
  <si>
    <t>Implication pour l'outil</t>
  </si>
  <si>
    <t>Dose tyramine orale → PAS ≥ 30 mmHg (sujets non traités)</t>
  </si>
  <si>
    <t>200-800 mg; ED50 ≈ 437 mg</t>
  </si>
  <si>
    <t>Bieck 1989</t>
  </si>
  <si>
    <t>Baseline physiologique hors traitement.</t>
  </si>
  <si>
    <t>Même paramètre sous phénelzine 60 mg/j</t>
  </si>
  <si>
    <t>ED50 ≈ 33 mg</t>
  </si>
  <si>
    <t>Chute spectaculaire du seuil sous IMAO irréversible.</t>
  </si>
  <si>
    <t>Seuil pratique conservateur (réaction légère)</t>
  </si>
  <si>
    <t>≈ 6 mg par portion(s)</t>
  </si>
  <si>
    <t>FAO/WHO via littérature secondaire</t>
  </si>
  <si>
    <t>Pivot du score : Rouge/Noir ≥ 6 mg.</t>
  </si>
  <si>
    <t>Zone de réaction sévère sous IMAO</t>
  </si>
  <si>
    <t>≈ 10-25 mg</t>
  </si>
  <si>
    <t>FAO/WHO via littérature clinique</t>
  </si>
  <si>
    <t>Zone de crise hypertensive franche.</t>
  </si>
  <si>
    <t>Persistance après arrêt phénelzine</t>
  </si>
  <si>
    <t>Semaines (2-4 à 8+)</t>
  </si>
  <si>
    <t>Bieck 1989 / revues</t>
  </si>
  <si>
    <t>Facteur ancienneté modeste mais non nul.</t>
  </si>
  <si>
    <t>Posologie cible Nardil</t>
  </si>
  <si>
    <t>Initiale 15 mg×3/j; ≥ 60 mg/j; possiblement 90 mg/j</t>
  </si>
  <si>
    <t>DailyMed/FDA Nardil</t>
  </si>
  <si>
    <t>Justifie paliers de dose de l'algorithme.</t>
  </si>
  <si>
    <t>Inhibition MAO plaquettaire à 60 mg/j</t>
  </si>
  <si>
    <t>Médiane &gt;80 %; clinique ≥60 %</t>
  </si>
  <si>
    <t>Études contrôlées</t>
  </si>
  <si>
    <t>Effet plafond → pondération dose modeste.</t>
  </si>
  <si>
    <t>Délai d'effet antidépresseur</t>
  </si>
  <si>
    <t>≥4 semaines à 60 mg/j</t>
  </si>
  <si>
    <t>Patient exposé au risque dès les premières semaines.</t>
  </si>
  <si>
    <t>Facteurs de l'algorithme de score</t>
  </si>
  <si>
    <t>score_repas = tyramine_mg_cumulée × facteur_dose × facteur_ancienneté × facteur_incertitude</t>
  </si>
  <si>
    <t>Facteur</t>
  </si>
  <si>
    <t>Condition</t>
  </si>
  <si>
    <t>Coefficient</t>
  </si>
  <si>
    <t>Justification</t>
  </si>
  <si>
    <t>Dose phénelzine</t>
  </si>
  <si>
    <t>&lt; 45 mg/j</t>
  </si>
  <si>
    <t>Dose sous-thérapeutique; inhibition MAO incomplète.</t>
  </si>
  <si>
    <t>45-60 mg/j</t>
  </si>
  <si>
    <t>Plage thérapeutique centrale (ED50 Bieck).</t>
  </si>
  <si>
    <t>61-75 mg/j</t>
  </si>
  <si>
    <t>Inhibition plaquettaire &gt;80 %; effet plafond amorcé.</t>
  </si>
  <si>
    <t>76-90 mg/j</t>
  </si>
  <si>
    <t>Dose maximale; effet plafond probable.</t>
  </si>
  <si>
    <t>Ancienneté traitement</t>
  </si>
  <si>
    <t>≤ 3 jours</t>
  </si>
  <si>
    <t>Inhibition MAO en installation.</t>
  </si>
  <si>
    <t>4-28 jours</t>
  </si>
  <si>
    <t>Inhibition enzymatique stabilisée.</t>
  </si>
  <si>
    <t>&gt; 28 jours</t>
  </si>
  <si>
    <t>Exposition chronique; coussin modeste.</t>
  </si>
  <si>
    <t>Incertitude</t>
  </si>
  <si>
    <t>Confiance D, artisanal, maison, forte variabilité</t>
  </si>
  <si>
    <t>Outliers alimentaires = vrai risque clinique.</t>
  </si>
  <si>
    <t>Haute confiance (A) et produit industriel standardisé</t>
  </si>
  <si>
    <t>Aucun multiplicateur.</t>
  </si>
  <si>
    <t>Garde-fou</t>
  </si>
  <si>
    <t>Ces pondérations modulent le score mais ne l'annulent jamais. Un aliment officiellement à éviter (FDA label_restricted=True) ou sans donnée fiable reste classé par le verrou catégoriel, indépendamment du score numérique.</t>
  </si>
  <si>
    <t>Règles d'alerte — niveaux et déclencheurs</t>
  </si>
  <si>
    <t>Niveau</t>
  </si>
  <si>
    <t>Règle</t>
  </si>
  <si>
    <t>Sens clinique</t>
  </si>
  <si>
    <t>Affichage patient</t>
  </si>
  <si>
    <t>Repas estimé ≥6 mg; OU aliment FDA-restricted + confiance D; OU fermenté/affiné artisanal protéique</t>
  </si>
  <si>
    <t>À éviter</t>
  </si>
  <si>
    <t>Message 'À ÉVITER sous Nardil' + voie d'urgence</t>
  </si>
  <si>
    <t>Repas estimé 4 à &lt;6 mg; OU aliment ≥4 mg; OU catégorie haut risque avec confiance moyenne</t>
  </si>
  <si>
    <t>Risque important</t>
  </si>
  <si>
    <t>Message 'Risque important' + rappel 'faible ≠ sûr'</t>
  </si>
  <si>
    <t>Repas estimé 2 à &lt;4 mg; OU 'non spécifiée'; OU forte variabilité</t>
  </si>
  <si>
    <t>Prudence forte</t>
  </si>
  <si>
    <t>Message 'Prudence forte' + conseil médecin/pharmacien</t>
  </si>
  <si>
    <t>Repas &lt;2 mg, confiance A/B, hors catégorie restrictive</t>
  </si>
  <si>
    <t>Risque estimé bas</t>
  </si>
  <si>
    <t>Message 'Risque estimé bas' + disclaimer 'faible ≠ sûr'</t>
  </si>
  <si>
    <t>Verrou catégoriel (FDA label phenelzine)</t>
  </si>
  <si>
    <t>Indépendamment du score, si l'aliment appartient à une famille du libellé officiel (aged/fermented cheeses, smoked/pickled/aged/fermented meats et fish, fermented soy/fish, concentrated yeast extracts, tap beer, fortified wines, overripe fruits, fava beans L-DOPA, liver/pâté), la colonne label_restricted=True signale le verrou. La colonne categorie_libelle_fda opérationnalise le rattachement.</t>
  </si>
  <si>
    <t>Textes patient — accueil, urgence, disclaimer, juridique</t>
  </si>
  <si>
    <t>Mode d'emploi patient</t>
  </si>
  <si>
    <t>Cet outil concerne uniquement la phénelzine (Nardil).
Il estime la tyramine d'un aliment ou d'un repas à partir de données publiées.
Un score faible ne veut pas dire que l'aliment est sûr pour vous.
Les produits maison, artisanaux, mal réfrigérés, plus vieux, plus mûrs, plus affinés, ou d'une autre marque peuvent contenir beaucoup plus de tyramine que la valeur affichée.
Si l'aliment est fermenté, affiné, fumé, saumurée/mariné, ou si la donnée est inconnue, n'utilisez pas ce résultat pour vous rassurer.
En cas de doute, ne consommez pas et contactez votre médecin ou pharmacien.</t>
  </si>
  <si>
    <t>Bloc urgence (visible sans clic)</t>
  </si>
  <si>
    <t>URGENCE : céphalée brutale ou très inhabituelle, douleur thoracique, palpitations, raideur cervicale, nausées/vomissements, essoufflement, ou pression artérielle très élevée = appelez les urgences.</t>
  </si>
  <si>
    <t>Disclaimer fort</t>
  </si>
  <si>
    <t>Outil éducatif uniquement. Ce service n'est PAS un dispositif médical, ne fournit PAS d'avis médical, et ne remplace PAS le jugement d'un médecin, d'un pharmacien, ou d'un service d'urgence.
Les teneurs en tyramine sont des estimations; elles varient selon la marque, la recette, la fermentation, l'affinage, le stockage, l'hygiène et la portion réelle.
Aucune garantie n'est donnée quant à l'exactitude, l'exhaustivité, l'actualité, ou la sécurité d'un aliment pour une personne donnée.
L'utilisateur assume seul toute décision de consommation.</t>
  </si>
  <si>
    <t>Projet de clause droit et juridiction</t>
  </si>
  <si>
    <t>Sauf disposition impérative contraire, les présentes conditions sont régies par le droit français. Tout litige relatif au service relève des juridictions compétentes du ressort de Paris.
Note : clause à faire valider par un avocat en droit français de la consommation et du numérique.</t>
  </si>
  <si>
    <t>Méthode de consolidation v4 et limitations</t>
  </si>
  <si>
    <t>Sources consolidées et règle de doublons</t>
  </si>
  <si>
    <t>Trois sources primaires ont été fusionnées : (1) dataset_maitre_tyramine_nardil_v2.csv — 69 entrées structurées ; (2) rapport de deep research initial — enrichissements notes + 8 nouvelles entrées ; (3) rapport de deep research élargi — 260+ entrées couvrant toutes les régions du monde. Règle : en cas de doublon, la source la plus riche prime. Les valeurs numériques sont prises telles que rapportées par la littérature HPLC moderne (post-2010 quand possible). Les notes complémentaires consolident les nuances industriel vs artisanal, anciennes vs modernes valeurs, outliers documentés.</t>
  </si>
  <si>
    <t>Limitations principales</t>
  </si>
  <si>
    <t>Scientifique — pharmacologie</t>
  </si>
  <si>
    <t>Absence de courbe clinique granularisée dose phénelzine / seuil tyramine. Pondérations dose/durée volontairement modestes.</t>
  </si>
  <si>
    <t>Alimentaire — couverture régionale</t>
  </si>
  <si>
    <t>Certains produits artisanaux (shanklish, motal, chhurpi, chechil, kilishi, biltong, qwanta, ogiri, ugba, kenkey, kisra, koumis) ne disposent pas d'études HPLC publiées. Classification conservatrice par défaut (confidence D, souvent Noir).</t>
  </si>
  <si>
    <t>Méthodologique — anciennes mesures</t>
  </si>
  <si>
    <t>Certaines mesures anciennes (années 1960-1980) ont surestimé la tyramine des fromages. L'audit a privilégié les données contemporaines, mais conservé les outliers anciens comme rappel de la variabilité réelle.</t>
  </si>
  <si>
    <t>Clinique — variabilité individuelle</t>
  </si>
  <si>
    <t>Variabilité interindividuelle importante même hors traitement. Un coussin de sécurité systématique s'impose.</t>
  </si>
  <si>
    <t>Mécanisme alternatif — fèves</t>
  </si>
  <si>
    <t>Les fèves / broad beans agissent via la L-DOPA (cosse 200-300 mg/100g, Johns &amp; Hertzler) et non la tyramine. Crises hypertensives documentées (Hodge 1964). Noir absolu indépendamment de la colonne tyramine.</t>
  </si>
  <si>
    <t>FDA label vs science moderne</t>
  </si>
  <si>
    <t>La notice FDA Nardil maintient des restrictions conservatrices (années 1960-80). Les réévaluations modernes (Shulman-Walker 1996, McCabe-Sellers 2006, Gillman 2017/2019, Van den Eynde 2022) réhabilitent : bière bouteille pasteurisée, vins en modération (sauf Chianti), chocolat, bacon en portions normales, yaourts industriels, bouillon cubes modernes, levure nutritionnelle inactivée, spiritueux distillés, tofu frais, viandes fraîches, conserves appertisées. Le label_restricted colonne reflète le libellé FDA tandis que le seuil_alerte_par_portion intègre la réévaluation moderne par la dose effective.</t>
  </si>
  <si>
    <t>Sources primaires consolidées</t>
  </si>
  <si>
    <t>Type</t>
  </si>
  <si>
    <t>Référence</t>
  </si>
  <si>
    <t>URL</t>
  </si>
  <si>
    <t>Usage</t>
  </si>
  <si>
    <t>Libellé officiel</t>
  </si>
  <si>
    <t>FDA DailyMed — Nardil (phénelzine) label</t>
  </si>
  <si>
    <t>Base du verrou catégoriel</t>
  </si>
  <si>
    <t>Revue clinique</t>
  </si>
  <si>
    <t>Gillman PK — MAOI diet drug interactions 2019</t>
  </si>
  <si>
    <t>Synthèse de référence moderne pour portions et catégories</t>
  </si>
  <si>
    <t>Revue clinique courte</t>
  </si>
  <si>
    <t>Gillman PK — MAOI diet short 2019</t>
  </si>
  <si>
    <t>Version opérationnelle conseil clinique</t>
  </si>
  <si>
    <t>Pharmacologie</t>
  </si>
  <si>
    <t>Bieck &amp; Antonin 1989 — pressor challenge phénelzine</t>
  </si>
  <si>
    <t>cf. revue</t>
  </si>
  <si>
    <t>ED50 33 mg sous phénelzine</t>
  </si>
  <si>
    <t>Étude séminale</t>
  </si>
  <si>
    <t>Shulman &amp; Walker 1996</t>
  </si>
  <si>
    <t>Réhabilitation de fromages/aliments</t>
  </si>
  <si>
    <t>Revue récente</t>
  </si>
  <si>
    <t>Van den Eynde et al. 2022</t>
  </si>
  <si>
    <t>https://pubmed.ncbi.nlm.nih.gov/35721816/</t>
  </si>
  <si>
    <t>Synthèse contemporaine fromages/harengs/jambons</t>
  </si>
  <si>
    <t>Revue méthodologique</t>
  </si>
  <si>
    <t>McCabe-Sellers 2006 JFCA</t>
  </si>
  <si>
    <t>Bouillons cubes modernes, yaourts</t>
  </si>
  <si>
    <t>Étude bières</t>
  </si>
  <si>
    <t>Tailor et al. 1994 — phénelzine &amp; tap beer</t>
  </si>
  <si>
    <t>Catégorie FDA 'tap beer'</t>
  </si>
  <si>
    <t>Étude vins</t>
  </si>
  <si>
    <t>Soleas et al. 1999</t>
  </si>
  <si>
    <t>Tyramine dans vins modernes</t>
  </si>
  <si>
    <t>Étude fromages</t>
  </si>
  <si>
    <t>Pillonel et al. 2003 emmental</t>
  </si>
  <si>
    <t>8,6-403 mg/kg selon affinage</t>
  </si>
  <si>
    <t>Novella-Rodríguez et al. 2000-2004</t>
  </si>
  <si>
    <t>Fromages affinés brebis, bleus</t>
  </si>
  <si>
    <t>Mayer 2010 — camembert/brie moderne</t>
  </si>
  <si>
    <t>Fromages à croûte fleurie pasteurisés</t>
  </si>
  <si>
    <t>Pluta-Kubica et al. 2022</t>
  </si>
  <si>
    <t>Croûtes lavées</t>
  </si>
  <si>
    <t>Combarros-Fuertes et al. 2016</t>
  </si>
  <si>
    <t>Cabrales</t>
  </si>
  <si>
    <t>Andiç et al. 2010 Motal</t>
  </si>
  <si>
    <t>Motal PMID 20105559</t>
  </si>
  <si>
    <t>Étude charcuteries</t>
  </si>
  <si>
    <t>Suzzi &amp; Gardini 2003</t>
  </si>
  <si>
    <t>Italian dry sausages</t>
  </si>
  <si>
    <t>Latorre-Moratalla 2008-2017</t>
  </si>
  <si>
    <t>Risk assessment Spanish sausages n=357</t>
  </si>
  <si>
    <t>Anderegg et al. 2020</t>
  </si>
  <si>
    <t>Landjäger PMID 32338740</t>
  </si>
  <si>
    <t>Şenöz et al. 2000 sucuks</t>
  </si>
  <si>
    <t>https://pubmed.ncbi.nlm.nih.gov/20051213/</t>
  </si>
  <si>
    <t>Turkish sucuks</t>
  </si>
  <si>
    <t>Étude poissons</t>
  </si>
  <si>
    <t>Köse et al. 2012</t>
  </si>
  <si>
    <t>https://www.tandfonline.com/doi/abs/10.1080/19440049.2011.600728</t>
  </si>
  <si>
    <t>Review fish seafood</t>
  </si>
  <si>
    <t>Étude légumes</t>
  </si>
  <si>
    <t>Kalač et al. 1999-2003</t>
  </si>
  <si>
    <t>Sauerkraut n=121</t>
  </si>
  <si>
    <t>Étude soja/kimchi/jeotgal</t>
  </si>
  <si>
    <t>Jeong et al. 2019 — kimchi et jeotgal</t>
  </si>
  <si>
    <t>Corée produits fermentés</t>
  </si>
  <si>
    <t>Étude soja/jeotgal</t>
  </si>
  <si>
    <t>Kim-Byun-Mah 2012 Korea retail</t>
  </si>
  <si>
    <t>Korean fermented products</t>
  </si>
  <si>
    <t>Étude légumineuses africaines</t>
  </si>
  <si>
    <t>Ouoba &amp; Parkouda 2008-2009</t>
  </si>
  <si>
    <t>Soumbala Parkia biglobosa</t>
  </si>
  <si>
    <t>Étude africaine</t>
  </si>
  <si>
    <t>Tamang 2022 African fermented foods</t>
  </si>
  <si>
    <t>Revue produits africains</t>
  </si>
  <si>
    <t>Étude L-DOPA</t>
  </si>
  <si>
    <t>StatPearls Phenelzine fava beans</t>
  </si>
  <si>
    <t>Mécanisme L-DOPA cosse fèves</t>
  </si>
  <si>
    <t>Étude banane</t>
  </si>
  <si>
    <t>Foy &amp; Parratt 1960 Lancet</t>
  </si>
  <si>
    <t>Peau de banane 50-150 mg/100g</t>
  </si>
  <si>
    <t>Étude dairy</t>
  </si>
  <si>
    <t>Linares 2012 Front Microbiol</t>
  </si>
  <si>
    <t>https://www.frontiersin.org/journals/microbiology/articles/10.3389/fmicb.2012.00180/full</t>
  </si>
  <si>
    <t>Revue dairy fermenté</t>
  </si>
  <si>
    <t>Méthode peau de banane</t>
  </si>
  <si>
    <t>Walker 1996 restricted foods</t>
  </si>
  <si>
    <t>Réhabilitation aliments historiques</t>
  </si>
  <si>
    <t>Étude meat review</t>
  </si>
  <si>
    <t>Schirone 2022 meat review</t>
  </si>
  <si>
    <t>https://pmc.ncbi.nlm.nih.gov/articles/PMC8947279/</t>
  </si>
  <si>
    <t>Charcuteries modernes</t>
  </si>
  <si>
    <t>10 signaux cliniques majeurs pour l'outil patient Nardil</t>
  </si>
  <si>
    <t>#</t>
  </si>
  <si>
    <t>Signal</t>
  </si>
  <si>
    <t>1</t>
  </si>
  <si>
    <t>Les outliers tuent, pas les moyennes</t>
  </si>
  <si>
    <t>Un seul lot de saucisson, chorizo, sucuk, doenjang peut dépasser 1000 mg/kg. La colonne 'haute' doit gouverner la décision.</t>
  </si>
  <si>
    <t>2</t>
  </si>
  <si>
    <t>Fèves = mécanisme L-DOPA, pas tyramine</t>
  </si>
  <si>
    <t>Afficher Noir avec libellé explicite : 'mécanisme L-DOPA'. Ne pas se fier à tyramine basse.</t>
  </si>
  <si>
    <t>3</t>
  </si>
  <si>
    <t>Peau de banane source historique majeure</t>
  </si>
  <si>
    <t>Pertinent pour smoothies crus 'whole banana', plantains africains, recettes zéro-déchet. Foy &amp; Parratt 1960 Lancet.</t>
  </si>
  <si>
    <t>4</t>
  </si>
  <si>
    <t>Levure nutritionnelle (Vert) vs Marmite (Noir)</t>
  </si>
  <si>
    <t>Distinction critique à désamorcer explicitement dans l'UX.</t>
  </si>
  <si>
    <t>5</t>
  </si>
  <si>
    <t>Dashi dilué vs flakes katsuobushi purs</t>
  </si>
  <si>
    <t>Dashi 2-3 g/L &lt;1 mg/portion = OK ; flakes entiers = Rouge/Noir.</t>
  </si>
  <si>
    <t>6</t>
  </si>
  <si>
    <t>Dry-aged beef ≥45 jours = signal émergent</t>
  </si>
  <si>
    <t>Food Control 2025, Kim 2020 : Noir à partir de 45 jours de maturation.</t>
  </si>
  <si>
    <t>7</t>
  </si>
  <si>
    <t>Cuisson ne détruit pas la tyramine</t>
  </si>
  <si>
    <t>Stable thermiquement à 200°C. Carbonara au guanciale, sushi au nuoc-mâm, pastrami grillé conservent le risque.</t>
  </si>
  <si>
    <t>8</t>
  </si>
  <si>
    <t>Absorption accélérée à jeun (×3)</t>
  </si>
  <si>
    <t>Seuils réactifs abaissés à jeun. Alcool à jeun à traiter plus strictement.</t>
  </si>
  <si>
    <t>9</t>
  </si>
  <si>
    <t>label_restricted ≠ toxicité absolue</t>
  </si>
  <si>
    <t>Reflète l'inscription FDA, pas la dose. Worcestershire 5 mL, labneh 100g industriel, cornichons industriels : exposition négligeable. La colonne seuil_alerte_par_portion opérationnalise la décision.</t>
  </si>
  <si>
    <t>10</t>
  </si>
  <si>
    <t>Données manquantes (D) ≠ absence de risque</t>
  </si>
  <si>
    <t>Pour chhurpi, chechil, kilishi, qwanta, biltong, câpres, pulque, koumis artisanal, absence d'HPLC impose Noir par défaut.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</si>
</sst>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5">
    <font>
      <sz val="11"/>
      <color theme="1"/>
      <name val="Calibri"/>
      <family val="2"/>
      <charset val="1"/>
    </font>
    <font>
      <b/>
      <sz val="18"/>
      <color rgb="FF071028"/>
      <name val="Calibri"/>
      <family val="2"/>
    </font>
    <font>
      <i/>
      <sz val="11"/>
      <color rgb="FFBF8520"/>
      <name val="Calibri"/>
      <family val="2"/>
    </font>
    <font>
      <b/>
      <sz val="11"/>
      <color rgb="FF071028"/>
      <name val="Calibri"/>
      <family val="2"/>
    </font>
    <font>
      <sz val="10"/>
      <name val="Calibri"/>
      <family val="2"/>
    </font>
    <font>
      <i/>
      <sz val="10"/>
      <color rgb="FF555555"/>
      <name val="Calibri"/>
      <family val="2"/>
    </font>
    <font>
      <b/>
      <sz val="12"/>
      <color rgb="FF071028"/>
      <name val="Calibri"/>
      <family val="2"/>
    </font>
    <font>
      <b/>
      <sz val="14"/>
      <color rgb="FF071028"/>
      <name val="Calibri"/>
      <family val="2"/>
    </font>
    <font>
      <b/>
      <sz val="11"/>
      <color rgb="FFFFFFFF"/>
      <name val="Calibri"/>
      <family val="2"/>
    </font>
    <font>
      <b/>
      <sz val="10"/>
      <color rgb="FFFFFFFF"/>
      <name val="Calibri"/>
      <family val="2"/>
    </font>
    <font>
      <sz val="10"/>
      <name val="Noto Sans CJK SC"/>
      <family val="2"/>
    </font>
    <font>
      <sz val="10"/>
      <color rgb="FF000000"/>
      <name val="Calibri"/>
      <family val="2"/>
    </font>
    <font>
      <b/>
      <sz val="10"/>
      <color rgb="FF071028"/>
      <name val="Calibri"/>
      <family val="2"/>
    </font>
    <font>
      <b/>
      <sz val="10"/>
      <color rgb="FFBF8520"/>
      <name val="Calibri"/>
      <family val="2"/>
    </font>
    <font>
      <u/>
      <sz val="10"/>
      <color rgb="FF0563C1"/>
      <name val="Calibri"/>
      <family val="2"/>
    </font>
  </fonts>
  <fills count="15">
    <fill>
      <patternFill patternType="none"/>
    </fill>
    <fill>
      <patternFill patternType="gray125"/>
    </fill>
    <fill>
      <patternFill patternType="solid">
        <fgColor rgb="FF071028"/>
        <bgColor rgb="FF1C1C1C"/>
      </patternFill>
    </fill>
    <fill>
      <patternFill patternType="solid">
        <fgColor rgb="FFE2F0D9"/>
        <bgColor rgb="FFE2EFDA"/>
      </patternFill>
    </fill>
    <fill>
      <patternFill patternType="solid">
        <fgColor rgb="FFE2EFDA"/>
        <bgColor rgb="FFE2F0D9"/>
      </patternFill>
    </fill>
    <fill>
      <patternFill patternType="solid">
        <fgColor rgb="FF548235"/>
        <bgColor rgb="FF339966"/>
      </patternFill>
    </fill>
    <fill>
      <patternFill patternType="solid">
        <fgColor rgb="FFFFF2CC"/>
        <bgColor rgb="FFF5E9CC"/>
      </patternFill>
    </fill>
    <fill>
      <patternFill patternType="solid">
        <fgColor rgb="FF1C1C1C"/>
        <bgColor rgb="FF071028"/>
      </patternFill>
    </fill>
    <fill>
      <patternFill patternType="solid">
        <fgColor rgb="FFED7D31"/>
        <bgColor rgb="FFBF8520"/>
      </patternFill>
    </fill>
    <fill>
      <patternFill patternType="solid">
        <fgColor rgb="FFC00000"/>
        <bgColor rgb="FF800000"/>
      </patternFill>
    </fill>
    <fill>
      <patternFill patternType="solid">
        <fgColor rgb="FFC6EFCE"/>
        <bgColor rgb="FFE2F0D9"/>
      </patternFill>
    </fill>
    <fill>
      <patternFill patternType="solid">
        <fgColor rgb="FFF8CBAD"/>
        <bgColor rgb="FFFBE5D6"/>
      </patternFill>
    </fill>
    <fill>
      <patternFill patternType="solid">
        <fgColor rgb="FFFBE5D6"/>
        <bgColor rgb="FFF5E9CC"/>
      </patternFill>
    </fill>
    <fill>
      <patternFill patternType="solid">
        <fgColor rgb="FFF2F2F2"/>
        <bgColor rgb="FFE2EFDA"/>
      </patternFill>
    </fill>
    <fill>
      <patternFill patternType="solid">
        <fgColor rgb="FFF5E9CC"/>
        <bgColor rgb="FFFBE5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5">
    <xf numFmtId="0" fontId="0" fillId="0" borderId="0" xfId="0"/>
    <xf numFmtId="0" fontId="6" fillId="14" borderId="0" xfId="0" applyFont="1" applyFill="1"/>
    <xf numFmtId="0" fontId="6" fillId="0" borderId="0" xfId="0" applyFont="1"/>
    <xf numFmtId="0" fontId="7" fillId="0" borderId="0" xfId="0" applyFont="1"/>
    <xf numFmtId="0" fontId="5" fillId="0" borderId="0" xfId="0" applyFont="1" applyAlignment="1">
      <alignment vertical="top" wrapText="1"/>
    </xf>
    <xf numFmtId="0" fontId="4" fillId="0" borderId="0" xfId="0" applyFont="1" applyAlignment="1">
      <alignment vertical="top" wrapText="1"/>
    </xf>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8" fillId="2" borderId="1" xfId="0" applyFont="1" applyFill="1" applyBorder="1" applyAlignment="1">
      <alignment horizontal="center" vertical="center" wrapText="1"/>
    </xf>
    <xf numFmtId="0" fontId="4" fillId="0" borderId="1" xfId="0" applyFont="1" applyBorder="1" applyAlignment="1">
      <alignment vertical="top" wrapText="1"/>
    </xf>
    <xf numFmtId="164" fontId="4" fillId="0" borderId="1" xfId="0" applyNumberFormat="1" applyFont="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9" fillId="5" borderId="1" xfId="0" applyFont="1" applyFill="1" applyBorder="1" applyAlignment="1">
      <alignment horizontal="center" vertical="center" wrapText="1"/>
    </xf>
    <xf numFmtId="0" fontId="4" fillId="6" borderId="1" xfId="0" applyFont="1" applyFill="1" applyBorder="1" applyAlignment="1">
      <alignment vertical="top" wrapText="1"/>
    </xf>
    <xf numFmtId="0" fontId="9" fillId="7"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4" fillId="10" borderId="1" xfId="0" applyFont="1" applyFill="1" applyBorder="1" applyAlignment="1">
      <alignment vertical="top" wrapText="1"/>
    </xf>
    <xf numFmtId="0" fontId="4" fillId="11" borderId="1" xfId="0" applyFont="1" applyFill="1" applyBorder="1" applyAlignment="1">
      <alignment vertical="top" wrapText="1"/>
    </xf>
    <xf numFmtId="0" fontId="4" fillId="12" borderId="1" xfId="0" applyFont="1" applyFill="1" applyBorder="1" applyAlignment="1">
      <alignment vertical="top" wrapText="1"/>
    </xf>
    <xf numFmtId="0" fontId="10" fillId="0" borderId="1" xfId="0" applyFont="1" applyBorder="1" applyAlignment="1">
      <alignment vertical="top" wrapText="1"/>
    </xf>
    <xf numFmtId="0" fontId="4" fillId="13" borderId="1" xfId="0" applyFont="1" applyFill="1" applyBorder="1" applyAlignment="1">
      <alignment vertical="top" wrapText="1"/>
    </xf>
    <xf numFmtId="2" fontId="4" fillId="0" borderId="1" xfId="0" applyNumberFormat="1" applyFont="1" applyBorder="1" applyAlignment="1">
      <alignment horizontal="center" vertical="center"/>
    </xf>
    <xf numFmtId="2" fontId="4" fillId="13" borderId="1" xfId="0" applyNumberFormat="1" applyFont="1" applyFill="1" applyBorder="1" applyAlignment="1">
      <alignment horizontal="center" vertical="center"/>
    </xf>
    <xf numFmtId="0" fontId="11" fillId="0" borderId="1" xfId="0" applyFont="1" applyBorder="1" applyAlignment="1">
      <alignment horizontal="left" vertical="center" wrapText="1"/>
    </xf>
    <xf numFmtId="0" fontId="12" fillId="0" borderId="0" xfId="0" applyFont="1"/>
    <xf numFmtId="0" fontId="13" fillId="13" borderId="1" xfId="0" applyFont="1" applyFill="1" applyBorder="1" applyAlignment="1">
      <alignment vertical="top" wrapText="1"/>
    </xf>
    <xf numFmtId="0" fontId="14" fillId="13" borderId="1" xfId="0" applyFont="1" applyFill="1" applyBorder="1" applyAlignment="1">
      <alignment vertical="top" wrapText="1"/>
    </xf>
    <xf numFmtId="0" fontId="13" fillId="0" borderId="1" xfId="0" applyFont="1" applyBorder="1" applyAlignment="1">
      <alignment vertical="top" wrapText="1"/>
    </xf>
    <xf numFmtId="0" fontId="14"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2CC"/>
      <rgbColor rgb="FFE2F0D9"/>
      <rgbColor rgb="FF660066"/>
      <rgbColor rgb="FFFF8080"/>
      <rgbColor rgb="FF0563C1"/>
      <rgbColor rgb="FFFBE5D6"/>
      <rgbColor rgb="FF000080"/>
      <rgbColor rgb="FFFF00FF"/>
      <rgbColor rgb="FFFFFF00"/>
      <rgbColor rgb="FF00FFFF"/>
      <rgbColor rgb="FF800080"/>
      <rgbColor rgb="FF800000"/>
      <rgbColor rgb="FF008080"/>
      <rgbColor rgb="FF0000FF"/>
      <rgbColor rgb="FF00CCFF"/>
      <rgbColor rgb="FFE2EFDA"/>
      <rgbColor rgb="FFC6EFCE"/>
      <rgbColor rgb="FFF5E9CC"/>
      <rgbColor rgb="FFF2F2F2"/>
      <rgbColor rgb="FFFF99CC"/>
      <rgbColor rgb="FFCC99FF"/>
      <rgbColor rgb="FFF8CBAD"/>
      <rgbColor rgb="FF3366FF"/>
      <rgbColor rgb="FF33CCCC"/>
      <rgbColor rgb="FF99CC00"/>
      <rgbColor rgb="FFFFCC00"/>
      <rgbColor rgb="FFBF8520"/>
      <rgbColor rgb="FFED7D31"/>
      <rgbColor rgb="FF555555"/>
      <rgbColor rgb="FF969696"/>
      <rgbColor rgb="FF003366"/>
      <rgbColor rgb="FF339966"/>
      <rgbColor rgb="FF071028"/>
      <rgbColor rgb="FF333300"/>
      <rgbColor rgb="FF993300"/>
      <rgbColor rgb="FF993366"/>
      <rgbColor rgb="FF333399"/>
      <rgbColor rgb="FF1C1C1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xml version="1.0" encoding="UTF-8" standalone="yes"?>
<Relationships xmlns="http://schemas.openxmlformats.org/package/2006/relationships"><Relationship Id="rId8" Type="http://schemas.openxmlformats.org/officeDocument/2006/relationships/hyperlink" Target="https://pubmed.ncbi.nlm.nih.gov/10552634/" TargetMode="External"/><Relationship Id="rId13" Type="http://schemas.openxmlformats.org/officeDocument/2006/relationships/hyperlink" Target="https://pubmed.ncbi.nlm.nih.gov/27287361/" TargetMode="External"/><Relationship Id="rId18" Type="http://schemas.openxmlformats.org/officeDocument/2006/relationships/hyperlink" Target="https://pubmed.ncbi.nlm.nih.gov/20051213/" TargetMode="External"/><Relationship Id="rId26" Type="http://schemas.openxmlformats.org/officeDocument/2006/relationships/hyperlink" Target="https://pubmed.ncbi.nlm.nih.gov/14434167/" TargetMode="External"/><Relationship Id="rId3" Type="http://schemas.openxmlformats.org/officeDocument/2006/relationships/hyperlink" Target="https://psychotropical.com/wp-content/uploads/2019/09/9-MAOI-diet-short-2019.pdf" TargetMode="External"/><Relationship Id="rId21" Type="http://schemas.openxmlformats.org/officeDocument/2006/relationships/hyperlink" Target="https://pmc.ncbi.nlm.nih.gov/articles/PMC6915361/" TargetMode="External"/><Relationship Id="rId7" Type="http://schemas.openxmlformats.org/officeDocument/2006/relationships/hyperlink" Target="https://pubmed.ncbi.nlm.nih.gov/8151003/" TargetMode="External"/><Relationship Id="rId12" Type="http://schemas.openxmlformats.org/officeDocument/2006/relationships/hyperlink" Target="https://pmc.ncbi.nlm.nih.gov/articles/PMC9740775/" TargetMode="External"/><Relationship Id="rId17" Type="http://schemas.openxmlformats.org/officeDocument/2006/relationships/hyperlink" Target="https://pubmed.ncbi.nlm.nih.gov/32338740/" TargetMode="External"/><Relationship Id="rId25" Type="http://schemas.openxmlformats.org/officeDocument/2006/relationships/hyperlink" Target="https://www.ncbi.nlm.nih.gov/books/NBK554508/" TargetMode="External"/><Relationship Id="rId2" Type="http://schemas.openxmlformats.org/officeDocument/2006/relationships/hyperlink" Target="https://psychotropical.com/wp-content/uploads/2019/09/8-MAOI_diet_drug_interactions_2019.pdf" TargetMode="External"/><Relationship Id="rId16" Type="http://schemas.openxmlformats.org/officeDocument/2006/relationships/hyperlink" Target="https://www.sciencedirect.com/science/article/abs/pii/S0278691516304185" TargetMode="External"/><Relationship Id="rId20" Type="http://schemas.openxmlformats.org/officeDocument/2006/relationships/hyperlink" Target="https://www.sciencedirect.com/science/article/abs/pii/S0308814699001314" TargetMode="External"/><Relationship Id="rId29" Type="http://schemas.openxmlformats.org/officeDocument/2006/relationships/hyperlink" Target="https://pmc.ncbi.nlm.nih.gov/articles/PMC8947279/" TargetMode="External"/><Relationship Id="rId1" Type="http://schemas.openxmlformats.org/officeDocument/2006/relationships/hyperlink" Target="https://www.accessdata.fda.gov/drugsatfda_docs/label/2009/011909s038lbl.pdf" TargetMode="External"/><Relationship Id="rId6" Type="http://schemas.openxmlformats.org/officeDocument/2006/relationships/hyperlink" Target="https://doi.org/10.1016/j.jfca.2005.12.008" TargetMode="External"/><Relationship Id="rId11" Type="http://schemas.openxmlformats.org/officeDocument/2006/relationships/hyperlink" Target="https://pubmed.ncbi.nlm.nih.gov/19781707/" TargetMode="External"/><Relationship Id="rId24" Type="http://schemas.openxmlformats.org/officeDocument/2006/relationships/hyperlink" Target="https://www.nature.com/articles/s41538-022-00130-w" TargetMode="External"/><Relationship Id="rId5" Type="http://schemas.openxmlformats.org/officeDocument/2006/relationships/hyperlink" Target="https://pubmed.ncbi.nlm.nih.gov/35721816/" TargetMode="External"/><Relationship Id="rId15" Type="http://schemas.openxmlformats.org/officeDocument/2006/relationships/hyperlink" Target="https://pubmed.ncbi.nlm.nih.gov/14527803/" TargetMode="External"/><Relationship Id="rId23" Type="http://schemas.openxmlformats.org/officeDocument/2006/relationships/hyperlink" Target="https://ifst.onlinelibrary.wiley.com/doi/abs/10.1111/ijfs.14724" TargetMode="External"/><Relationship Id="rId28" Type="http://schemas.openxmlformats.org/officeDocument/2006/relationships/hyperlink" Target="https://pubmed.ncbi.nlm.nih.gov/8889911/" TargetMode="External"/><Relationship Id="rId10" Type="http://schemas.openxmlformats.org/officeDocument/2006/relationships/hyperlink" Target="https://pubmed.ncbi.nlm.nih.gov/12769492/" TargetMode="External"/><Relationship Id="rId19" Type="http://schemas.openxmlformats.org/officeDocument/2006/relationships/hyperlink" Target="https://www.tandfonline.com/doi/abs/10.1080/19440049.2011.600728" TargetMode="External"/><Relationship Id="rId4" Type="http://schemas.openxmlformats.org/officeDocument/2006/relationships/hyperlink" Target="https://pubmed.ncbi.nlm.nih.gov/8601543/" TargetMode="External"/><Relationship Id="rId9" Type="http://schemas.openxmlformats.org/officeDocument/2006/relationships/hyperlink" Target="https://pubmed.ncbi.nlm.nih.gov/12769487/" TargetMode="External"/><Relationship Id="rId14" Type="http://schemas.openxmlformats.org/officeDocument/2006/relationships/hyperlink" Target="https://pubmed.ncbi.nlm.nih.gov/20105559/" TargetMode="External"/><Relationship Id="rId22" Type="http://schemas.openxmlformats.org/officeDocument/2006/relationships/hyperlink" Target="https://pubmed.ncbi.nlm.nih.gov/22980868/" TargetMode="External"/><Relationship Id="rId27" Type="http://schemas.openxmlformats.org/officeDocument/2006/relationships/hyperlink" Target="https://www.frontiersin.org/journals/microbiology/articles/10.3389/fmicb.2012.00180/ful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zoomScaleNormal="100" workbookViewId="0"/>
  </sheetViews>
  <sheetFormatPr baseColWidth="10" defaultColWidth="8.6640625" defaultRowHeight="15"/>
  <cols>
    <col min="1" max="1" width="28" customWidth="1"/>
    <col min="2" max="2" width="70" customWidth="1"/>
    <col min="3" max="3" width="28" customWidth="1"/>
  </cols>
  <sheetData>
    <row r="1" spans="1:3" ht="24">
      <c r="A1" s="6" t="s">
        <v>0</v>
      </c>
    </row>
    <row r="2" spans="1:3">
      <c r="A2" s="7" t="s">
        <v>1</v>
      </c>
    </row>
    <row r="4" spans="1:3">
      <c r="A4" s="8" t="s">
        <v>2</v>
      </c>
      <c r="B4" s="9" t="s">
        <v>3</v>
      </c>
      <c r="C4" s="10" t="s">
        <v>4</v>
      </c>
    </row>
    <row r="5" spans="1:3">
      <c r="A5" s="8" t="s">
        <v>5</v>
      </c>
      <c r="B5" s="9" t="s">
        <v>6</v>
      </c>
      <c r="C5" s="10" t="s">
        <v>7</v>
      </c>
    </row>
    <row r="6" spans="1:3">
      <c r="A6" s="8" t="s">
        <v>8</v>
      </c>
      <c r="B6" s="9" t="s">
        <v>9</v>
      </c>
      <c r="C6" s="10" t="s">
        <v>10</v>
      </c>
    </row>
    <row r="7" spans="1:3">
      <c r="A7" s="8" t="s">
        <v>11</v>
      </c>
      <c r="B7" s="9" t="s">
        <v>12</v>
      </c>
      <c r="C7" s="10" t="s">
        <v>13</v>
      </c>
    </row>
    <row r="8" spans="1:3">
      <c r="A8" s="8" t="s">
        <v>14</v>
      </c>
      <c r="B8" s="9" t="s">
        <v>15</v>
      </c>
      <c r="C8" s="10" t="s">
        <v>16</v>
      </c>
    </row>
    <row r="9" spans="1:3">
      <c r="A9" s="8" t="s">
        <v>17</v>
      </c>
      <c r="B9" s="9" t="s">
        <v>18</v>
      </c>
      <c r="C9" s="10" t="s">
        <v>19</v>
      </c>
    </row>
    <row r="10" spans="1:3">
      <c r="A10" s="8" t="s">
        <v>20</v>
      </c>
      <c r="B10" s="9" t="s">
        <v>21</v>
      </c>
      <c r="C10" s="10" t="s">
        <v>22</v>
      </c>
    </row>
    <row r="11" spans="1:3">
      <c r="A11" s="8" t="s">
        <v>23</v>
      </c>
      <c r="B11" s="9" t="s">
        <v>24</v>
      </c>
      <c r="C11" s="10" t="s">
        <v>25</v>
      </c>
    </row>
    <row r="14" spans="1:3" ht="16">
      <c r="A14" s="11" t="s">
        <v>26</v>
      </c>
    </row>
    <row r="15" spans="1:3" ht="75" customHeight="1">
      <c r="A15" s="5" t="s">
        <v>27</v>
      </c>
      <c r="B15" s="5"/>
      <c r="C15" s="5"/>
    </row>
    <row r="17" spans="1:3" ht="16">
      <c r="A17" s="11" t="s">
        <v>28</v>
      </c>
    </row>
    <row r="18" spans="1:3" ht="39.75" customHeight="1">
      <c r="A18" s="4" t="s">
        <v>29</v>
      </c>
      <c r="B18" s="4"/>
      <c r="C18" s="4"/>
    </row>
  </sheetData>
  <mergeCells count="2">
    <mergeCell ref="A15:C15"/>
    <mergeCell ref="A18:C1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341"/>
  <sheetViews>
    <sheetView tabSelected="1" zoomScaleNormal="100" workbookViewId="0">
      <pane xSplit="2" ySplit="3" topLeftCell="C37" activePane="bottomRight" state="frozen"/>
      <selection pane="topRight" activeCell="C1" sqref="C1"/>
      <selection pane="bottomLeft" activeCell="A4" sqref="A4"/>
      <selection pane="bottomRight" sqref="A1:W1"/>
    </sheetView>
  </sheetViews>
  <sheetFormatPr baseColWidth="10" defaultColWidth="8.6640625" defaultRowHeight="15"/>
  <cols>
    <col min="1" max="1" width="10" customWidth="1"/>
    <col min="2" max="2" width="38" customWidth="1"/>
    <col min="3" max="3" width="28" customWidth="1"/>
    <col min="4" max="4" width="22" customWidth="1"/>
    <col min="5" max="5" width="24" customWidth="1"/>
    <col min="6" max="9" width="10" customWidth="1"/>
    <col min="10" max="10" width="14" customWidth="1"/>
    <col min="11" max="13" width="12" customWidth="1"/>
    <col min="14" max="14" width="10" customWidth="1"/>
    <col min="15" max="15" width="14" customWidth="1"/>
    <col min="16" max="16" width="48" customWidth="1"/>
    <col min="17" max="17" width="32" customWidth="1"/>
    <col min="18" max="20" width="10" customWidth="1"/>
    <col min="21" max="21" width="50" customWidth="1"/>
    <col min="22" max="22" width="28" customWidth="1"/>
    <col min="23" max="23" width="14" customWidth="1"/>
  </cols>
  <sheetData>
    <row r="1" spans="1:23" ht="19">
      <c r="A1" s="3" t="s">
        <v>30</v>
      </c>
      <c r="B1" s="3"/>
      <c r="C1" s="3"/>
      <c r="D1" s="3"/>
      <c r="E1" s="3"/>
      <c r="F1" s="3"/>
      <c r="G1" s="3"/>
      <c r="H1" s="3"/>
      <c r="I1" s="3"/>
      <c r="J1" s="3"/>
      <c r="K1" s="3"/>
      <c r="L1" s="3"/>
      <c r="M1" s="3"/>
      <c r="N1" s="3"/>
      <c r="O1" s="3"/>
      <c r="P1" s="3"/>
      <c r="Q1" s="3"/>
      <c r="R1" s="3"/>
      <c r="S1" s="3"/>
      <c r="T1" s="3"/>
      <c r="U1" s="3"/>
      <c r="V1" s="3"/>
      <c r="W1" s="3"/>
    </row>
    <row r="3" spans="1:23" ht="31.5" customHeight="1">
      <c r="A3" s="12" t="s">
        <v>31</v>
      </c>
      <c r="B3" s="12" t="s">
        <v>32</v>
      </c>
      <c r="C3" s="12" t="s">
        <v>33</v>
      </c>
      <c r="D3" s="12" t="s">
        <v>34</v>
      </c>
      <c r="E3" s="12" t="s">
        <v>35</v>
      </c>
      <c r="F3" s="12" t="s">
        <v>36</v>
      </c>
      <c r="G3" s="12" t="s">
        <v>37</v>
      </c>
      <c r="H3" s="12" t="s">
        <v>38</v>
      </c>
      <c r="I3" s="12" t="s">
        <v>39</v>
      </c>
      <c r="J3" s="12" t="s">
        <v>40</v>
      </c>
      <c r="K3" s="12" t="s">
        <v>41</v>
      </c>
      <c r="L3" s="12" t="s">
        <v>42</v>
      </c>
      <c r="M3" s="12" t="s">
        <v>43</v>
      </c>
      <c r="N3" s="12" t="s">
        <v>44</v>
      </c>
      <c r="O3" s="12" t="s">
        <v>45</v>
      </c>
      <c r="P3" s="12" t="s">
        <v>46</v>
      </c>
      <c r="Q3" s="12" t="s">
        <v>47</v>
      </c>
      <c r="R3" s="12" t="s">
        <v>48</v>
      </c>
      <c r="S3" s="12" t="s">
        <v>49</v>
      </c>
      <c r="T3" s="12" t="s">
        <v>50</v>
      </c>
      <c r="U3" s="12" t="s">
        <v>51</v>
      </c>
      <c r="V3" s="12" t="s">
        <v>52</v>
      </c>
      <c r="W3" s="12" t="s">
        <v>53</v>
      </c>
    </row>
    <row r="4" spans="1:23" ht="30">
      <c r="A4" s="13" t="s">
        <v>54</v>
      </c>
      <c r="B4" s="13" t="s">
        <v>55</v>
      </c>
      <c r="C4" s="13" t="s">
        <v>56</v>
      </c>
      <c r="D4" s="13" t="s">
        <v>57</v>
      </c>
      <c r="E4" s="13" t="s">
        <v>58</v>
      </c>
      <c r="F4" s="13" t="s">
        <v>59</v>
      </c>
      <c r="G4" s="14">
        <v>0</v>
      </c>
      <c r="H4" s="14">
        <v>0.1</v>
      </c>
      <c r="I4" s="14">
        <v>0.5</v>
      </c>
      <c r="J4" s="13" t="s">
        <v>60</v>
      </c>
      <c r="K4" s="14">
        <v>0</v>
      </c>
      <c r="L4" s="14">
        <v>0.1</v>
      </c>
      <c r="M4" s="14">
        <v>0.5</v>
      </c>
      <c r="N4" s="15" t="s">
        <v>61</v>
      </c>
      <c r="O4" s="13" t="s">
        <v>62</v>
      </c>
      <c r="P4" s="13" t="s">
        <v>63</v>
      </c>
      <c r="Q4" s="13" t="s">
        <v>64</v>
      </c>
      <c r="R4" s="13" t="b">
        <f>FALSE()</f>
        <v>0</v>
      </c>
      <c r="S4" s="13" t="b">
        <f>FALSE()</f>
        <v>0</v>
      </c>
      <c r="T4" s="16" t="s">
        <v>65</v>
      </c>
      <c r="U4" s="13"/>
      <c r="V4" s="13" t="s">
        <v>66</v>
      </c>
      <c r="W4" s="17" t="s">
        <v>67</v>
      </c>
    </row>
    <row r="5" spans="1:23" ht="30">
      <c r="A5" s="13" t="s">
        <v>68</v>
      </c>
      <c r="B5" s="13" t="s">
        <v>69</v>
      </c>
      <c r="C5" s="13" t="s">
        <v>70</v>
      </c>
      <c r="D5" s="13" t="s">
        <v>57</v>
      </c>
      <c r="E5" s="13" t="s">
        <v>71</v>
      </c>
      <c r="F5" s="13" t="s">
        <v>59</v>
      </c>
      <c r="G5" s="14">
        <v>0</v>
      </c>
      <c r="H5" s="14">
        <v>0.1</v>
      </c>
      <c r="I5" s="14">
        <v>0.5</v>
      </c>
      <c r="J5" s="13" t="s">
        <v>72</v>
      </c>
      <c r="K5" s="14">
        <v>0</v>
      </c>
      <c r="L5" s="14">
        <v>0.13</v>
      </c>
      <c r="M5" s="14">
        <v>0.63</v>
      </c>
      <c r="N5" s="15" t="s">
        <v>61</v>
      </c>
      <c r="O5" s="13" t="s">
        <v>62</v>
      </c>
      <c r="P5" s="13" t="s">
        <v>63</v>
      </c>
      <c r="Q5" s="13" t="s">
        <v>73</v>
      </c>
      <c r="R5" s="13" t="b">
        <f>FALSE()</f>
        <v>0</v>
      </c>
      <c r="S5" s="13" t="b">
        <f>FALSE()</f>
        <v>0</v>
      </c>
      <c r="T5" s="16" t="s">
        <v>65</v>
      </c>
      <c r="U5" s="13"/>
      <c r="V5" s="13" t="s">
        <v>74</v>
      </c>
      <c r="W5" s="17" t="s">
        <v>67</v>
      </c>
    </row>
    <row r="6" spans="1:23" ht="30">
      <c r="A6" s="13" t="s">
        <v>75</v>
      </c>
      <c r="B6" s="13" t="s">
        <v>76</v>
      </c>
      <c r="C6" s="13" t="s">
        <v>77</v>
      </c>
      <c r="D6" s="13" t="s">
        <v>78</v>
      </c>
      <c r="E6" s="13" t="s">
        <v>79</v>
      </c>
      <c r="F6" s="13" t="s">
        <v>80</v>
      </c>
      <c r="G6" s="14">
        <v>0</v>
      </c>
      <c r="H6" s="14">
        <v>0.5</v>
      </c>
      <c r="I6" s="14">
        <v>1.28</v>
      </c>
      <c r="J6" s="13" t="s">
        <v>81</v>
      </c>
      <c r="K6" s="14">
        <v>0</v>
      </c>
      <c r="L6" s="14">
        <v>1.25</v>
      </c>
      <c r="M6" s="14">
        <v>3.2</v>
      </c>
      <c r="N6" s="15" t="s">
        <v>61</v>
      </c>
      <c r="O6" s="13" t="s">
        <v>62</v>
      </c>
      <c r="P6" s="13" t="s">
        <v>82</v>
      </c>
      <c r="Q6" s="13" t="s">
        <v>83</v>
      </c>
      <c r="R6" s="13" t="b">
        <f>TRUE()</f>
        <v>1</v>
      </c>
      <c r="S6" s="13" t="b">
        <f>FALSE()</f>
        <v>0</v>
      </c>
      <c r="T6" s="18" t="s">
        <v>84</v>
      </c>
      <c r="U6" s="13" t="s">
        <v>85</v>
      </c>
      <c r="V6" s="13" t="s">
        <v>74</v>
      </c>
      <c r="W6" s="17" t="s">
        <v>67</v>
      </c>
    </row>
    <row r="7" spans="1:23" ht="30">
      <c r="A7" s="13" t="s">
        <v>86</v>
      </c>
      <c r="B7" s="13" t="s">
        <v>87</v>
      </c>
      <c r="C7" s="13" t="s">
        <v>88</v>
      </c>
      <c r="D7" s="13" t="s">
        <v>89</v>
      </c>
      <c r="E7" s="13" t="s">
        <v>90</v>
      </c>
      <c r="F7" s="13" t="s">
        <v>59</v>
      </c>
      <c r="G7" s="14">
        <v>0</v>
      </c>
      <c r="H7" s="14">
        <v>1</v>
      </c>
      <c r="I7" s="14">
        <v>10</v>
      </c>
      <c r="J7" s="13" t="s">
        <v>91</v>
      </c>
      <c r="K7" s="14">
        <v>0</v>
      </c>
      <c r="L7" s="14">
        <v>0.3</v>
      </c>
      <c r="M7" s="14">
        <v>3</v>
      </c>
      <c r="N7" s="18" t="s">
        <v>92</v>
      </c>
      <c r="O7" s="13" t="s">
        <v>62</v>
      </c>
      <c r="P7" s="13" t="s">
        <v>63</v>
      </c>
      <c r="Q7" s="13" t="s">
        <v>93</v>
      </c>
      <c r="R7" s="13" t="b">
        <f>TRUE()</f>
        <v>1</v>
      </c>
      <c r="S7" s="13" t="b">
        <f>TRUE()</f>
        <v>1</v>
      </c>
      <c r="T7" s="18" t="s">
        <v>84</v>
      </c>
      <c r="U7" s="13" t="s">
        <v>94</v>
      </c>
      <c r="V7" s="13" t="s">
        <v>95</v>
      </c>
      <c r="W7" s="19" t="s">
        <v>96</v>
      </c>
    </row>
    <row r="8" spans="1:23" ht="30">
      <c r="A8" s="13" t="s">
        <v>97</v>
      </c>
      <c r="B8" s="13" t="s">
        <v>98</v>
      </c>
      <c r="C8" s="13" t="s">
        <v>99</v>
      </c>
      <c r="D8" s="13" t="s">
        <v>100</v>
      </c>
      <c r="E8" s="13" t="s">
        <v>90</v>
      </c>
      <c r="F8" s="13" t="s">
        <v>59</v>
      </c>
      <c r="G8" s="14">
        <v>0</v>
      </c>
      <c r="H8" s="14">
        <v>8</v>
      </c>
      <c r="I8" s="14">
        <v>16</v>
      </c>
      <c r="J8" s="13" t="s">
        <v>91</v>
      </c>
      <c r="K8" s="14">
        <v>0</v>
      </c>
      <c r="L8" s="14">
        <v>2.4</v>
      </c>
      <c r="M8" s="14">
        <v>4.8</v>
      </c>
      <c r="N8" s="15" t="s">
        <v>61</v>
      </c>
      <c r="O8" s="13" t="s">
        <v>62</v>
      </c>
      <c r="P8" s="13" t="s">
        <v>63</v>
      </c>
      <c r="Q8" s="13" t="s">
        <v>101</v>
      </c>
      <c r="R8" s="13" t="b">
        <f>TRUE()</f>
        <v>1</v>
      </c>
      <c r="S8" s="13" t="b">
        <f>TRUE()</f>
        <v>1</v>
      </c>
      <c r="T8" s="18" t="s">
        <v>84</v>
      </c>
      <c r="U8" s="13" t="s">
        <v>102</v>
      </c>
      <c r="V8" s="13" t="s">
        <v>95</v>
      </c>
      <c r="W8" s="20" t="s">
        <v>103</v>
      </c>
    </row>
    <row r="9" spans="1:23" ht="30">
      <c r="A9" s="13" t="s">
        <v>104</v>
      </c>
      <c r="B9" s="13" t="s">
        <v>105</v>
      </c>
      <c r="C9" s="13" t="s">
        <v>106</v>
      </c>
      <c r="D9" s="13" t="s">
        <v>107</v>
      </c>
      <c r="E9" s="13" t="s">
        <v>90</v>
      </c>
      <c r="F9" s="13" t="s">
        <v>59</v>
      </c>
      <c r="G9" s="14">
        <v>10</v>
      </c>
      <c r="H9" s="14">
        <v>17</v>
      </c>
      <c r="I9" s="14">
        <v>25</v>
      </c>
      <c r="J9" s="13" t="s">
        <v>91</v>
      </c>
      <c r="K9" s="14">
        <v>3</v>
      </c>
      <c r="L9" s="14">
        <v>5.0999999999999996</v>
      </c>
      <c r="M9" s="14">
        <v>7.5</v>
      </c>
      <c r="N9" s="15" t="s">
        <v>61</v>
      </c>
      <c r="O9" s="13" t="s">
        <v>62</v>
      </c>
      <c r="P9" s="13" t="s">
        <v>63</v>
      </c>
      <c r="Q9" s="13" t="s">
        <v>108</v>
      </c>
      <c r="R9" s="13" t="b">
        <f>TRUE()</f>
        <v>1</v>
      </c>
      <c r="S9" s="13" t="b">
        <f>TRUE()</f>
        <v>1</v>
      </c>
      <c r="T9" s="18" t="s">
        <v>84</v>
      </c>
      <c r="U9" s="13" t="s">
        <v>109</v>
      </c>
      <c r="V9" s="13" t="s">
        <v>95</v>
      </c>
      <c r="W9" s="21" t="s">
        <v>110</v>
      </c>
    </row>
    <row r="10" spans="1:23" ht="30">
      <c r="A10" s="13" t="s">
        <v>111</v>
      </c>
      <c r="B10" s="13" t="s">
        <v>112</v>
      </c>
      <c r="C10" s="13" t="s">
        <v>113</v>
      </c>
      <c r="D10" s="13" t="s">
        <v>114</v>
      </c>
      <c r="E10" s="13" t="s">
        <v>115</v>
      </c>
      <c r="F10" s="13" t="s">
        <v>59</v>
      </c>
      <c r="G10" s="14">
        <v>2</v>
      </c>
      <c r="H10" s="14">
        <v>8</v>
      </c>
      <c r="I10" s="14">
        <v>15</v>
      </c>
      <c r="J10" s="13" t="s">
        <v>116</v>
      </c>
      <c r="K10" s="14">
        <v>0.4</v>
      </c>
      <c r="L10" s="14">
        <v>1.6</v>
      </c>
      <c r="M10" s="14">
        <v>3</v>
      </c>
      <c r="N10" s="15" t="s">
        <v>61</v>
      </c>
      <c r="O10" s="13" t="s">
        <v>62</v>
      </c>
      <c r="P10" s="13" t="s">
        <v>63</v>
      </c>
      <c r="Q10" s="13" t="s">
        <v>117</v>
      </c>
      <c r="R10" s="13" t="b">
        <f>TRUE()</f>
        <v>1</v>
      </c>
      <c r="S10" s="13" t="b">
        <f>TRUE()</f>
        <v>1</v>
      </c>
      <c r="T10" s="18" t="s">
        <v>84</v>
      </c>
      <c r="U10" s="13"/>
      <c r="V10" s="13" t="s">
        <v>95</v>
      </c>
      <c r="W10" s="20" t="s">
        <v>103</v>
      </c>
    </row>
    <row r="11" spans="1:23">
      <c r="A11" s="13" t="s">
        <v>118</v>
      </c>
      <c r="B11" s="13" t="s">
        <v>119</v>
      </c>
      <c r="C11" s="13" t="s">
        <v>120</v>
      </c>
      <c r="D11" s="13" t="s">
        <v>121</v>
      </c>
      <c r="E11" s="13" t="s">
        <v>122</v>
      </c>
      <c r="F11" s="13" t="s">
        <v>59</v>
      </c>
      <c r="G11" s="14">
        <v>1</v>
      </c>
      <c r="H11" s="14">
        <v>28.9</v>
      </c>
      <c r="I11" s="14">
        <v>87.5</v>
      </c>
      <c r="J11" s="13" t="s">
        <v>91</v>
      </c>
      <c r="K11" s="14">
        <v>0.3</v>
      </c>
      <c r="L11" s="14">
        <v>8.6999999999999993</v>
      </c>
      <c r="M11" s="14">
        <v>26.3</v>
      </c>
      <c r="N11" s="22" t="s">
        <v>123</v>
      </c>
      <c r="O11" s="13" t="s">
        <v>62</v>
      </c>
      <c r="P11" s="13" t="s">
        <v>124</v>
      </c>
      <c r="Q11" s="13" t="s">
        <v>125</v>
      </c>
      <c r="R11" s="13" t="b">
        <f>TRUE()</f>
        <v>1</v>
      </c>
      <c r="S11" s="13" t="b">
        <f>TRUE()</f>
        <v>1</v>
      </c>
      <c r="T11" s="23" t="s">
        <v>126</v>
      </c>
      <c r="U11" s="13"/>
      <c r="V11" s="13" t="s">
        <v>95</v>
      </c>
      <c r="W11" s="19" t="s">
        <v>96</v>
      </c>
    </row>
    <row r="12" spans="1:23" ht="30">
      <c r="A12" s="13" t="s">
        <v>127</v>
      </c>
      <c r="B12" s="13" t="s">
        <v>128</v>
      </c>
      <c r="C12" s="13" t="s">
        <v>129</v>
      </c>
      <c r="D12" s="13" t="s">
        <v>130</v>
      </c>
      <c r="E12" s="13" t="s">
        <v>131</v>
      </c>
      <c r="F12" s="13" t="s">
        <v>59</v>
      </c>
      <c r="G12" s="14">
        <v>0</v>
      </c>
      <c r="H12" s="14">
        <v>2</v>
      </c>
      <c r="I12" s="14">
        <v>8.7200000000000006</v>
      </c>
      <c r="J12" s="13" t="s">
        <v>132</v>
      </c>
      <c r="K12" s="14">
        <v>0</v>
      </c>
      <c r="L12" s="14">
        <v>0.8</v>
      </c>
      <c r="M12" s="14">
        <v>3.49</v>
      </c>
      <c r="N12" s="18" t="s">
        <v>92</v>
      </c>
      <c r="O12" s="13" t="s">
        <v>62</v>
      </c>
      <c r="P12" s="13" t="s">
        <v>133</v>
      </c>
      <c r="Q12" s="13" t="s">
        <v>134</v>
      </c>
      <c r="R12" s="13" t="b">
        <f>TRUE()</f>
        <v>1</v>
      </c>
      <c r="S12" s="13" t="b">
        <f>TRUE()</f>
        <v>1</v>
      </c>
      <c r="T12" s="18" t="s">
        <v>84</v>
      </c>
      <c r="U12" s="13"/>
      <c r="V12" s="13" t="s">
        <v>95</v>
      </c>
      <c r="W12" s="19" t="s">
        <v>96</v>
      </c>
    </row>
    <row r="13" spans="1:23" ht="30">
      <c r="A13" s="13" t="s">
        <v>135</v>
      </c>
      <c r="B13" s="13" t="s">
        <v>136</v>
      </c>
      <c r="C13" s="13" t="s">
        <v>137</v>
      </c>
      <c r="D13" s="13" t="s">
        <v>138</v>
      </c>
      <c r="E13" s="13" t="s">
        <v>139</v>
      </c>
      <c r="F13" s="13" t="s">
        <v>59</v>
      </c>
      <c r="G13" s="14"/>
      <c r="H13" s="14">
        <v>5</v>
      </c>
      <c r="I13" s="14">
        <v>20</v>
      </c>
      <c r="J13" s="13" t="s">
        <v>132</v>
      </c>
      <c r="K13" s="14"/>
      <c r="L13" s="14">
        <v>2</v>
      </c>
      <c r="M13" s="14">
        <v>8</v>
      </c>
      <c r="N13" s="24" t="s">
        <v>140</v>
      </c>
      <c r="O13" s="13" t="s">
        <v>141</v>
      </c>
      <c r="P13" s="13" t="s">
        <v>63</v>
      </c>
      <c r="Q13" s="13" t="s">
        <v>142</v>
      </c>
      <c r="R13" s="13" t="b">
        <f>TRUE()</f>
        <v>1</v>
      </c>
      <c r="S13" s="13" t="b">
        <f>TRUE()</f>
        <v>1</v>
      </c>
      <c r="T13" s="23" t="s">
        <v>126</v>
      </c>
      <c r="U13" s="13"/>
      <c r="V13" s="13" t="s">
        <v>95</v>
      </c>
      <c r="W13" s="19" t="s">
        <v>96</v>
      </c>
    </row>
    <row r="14" spans="1:23" ht="30">
      <c r="A14" s="13" t="s">
        <v>143</v>
      </c>
      <c r="B14" s="13" t="s">
        <v>144</v>
      </c>
      <c r="C14" s="13" t="s">
        <v>145</v>
      </c>
      <c r="D14" s="13" t="s">
        <v>121</v>
      </c>
      <c r="E14" s="13" t="s">
        <v>146</v>
      </c>
      <c r="F14" s="13" t="s">
        <v>59</v>
      </c>
      <c r="G14" s="14">
        <v>0</v>
      </c>
      <c r="H14" s="14">
        <v>0.1</v>
      </c>
      <c r="I14" s="14">
        <v>0.5</v>
      </c>
      <c r="J14" s="13" t="s">
        <v>147</v>
      </c>
      <c r="K14" s="14">
        <v>0</v>
      </c>
      <c r="L14" s="14">
        <v>0.15</v>
      </c>
      <c r="M14" s="14">
        <v>0.75</v>
      </c>
      <c r="N14" s="15" t="s">
        <v>61</v>
      </c>
      <c r="O14" s="13" t="s">
        <v>62</v>
      </c>
      <c r="P14" s="13" t="s">
        <v>63</v>
      </c>
      <c r="Q14" s="13" t="s">
        <v>148</v>
      </c>
      <c r="R14" s="13" t="b">
        <f>FALSE()</f>
        <v>0</v>
      </c>
      <c r="S14" s="13" t="b">
        <f>FALSE()</f>
        <v>0</v>
      </c>
      <c r="T14" s="16" t="s">
        <v>65</v>
      </c>
      <c r="U14" s="13"/>
      <c r="V14" s="13" t="s">
        <v>149</v>
      </c>
      <c r="W14" s="17" t="s">
        <v>67</v>
      </c>
    </row>
    <row r="15" spans="1:23" ht="30">
      <c r="A15" s="13" t="s">
        <v>150</v>
      </c>
      <c r="B15" s="13" t="s">
        <v>151</v>
      </c>
      <c r="C15" s="13" t="s">
        <v>152</v>
      </c>
      <c r="D15" s="13" t="s">
        <v>121</v>
      </c>
      <c r="E15" s="13" t="s">
        <v>146</v>
      </c>
      <c r="F15" s="13" t="s">
        <v>59</v>
      </c>
      <c r="G15" s="14">
        <v>0</v>
      </c>
      <c r="H15" s="14">
        <v>0.1</v>
      </c>
      <c r="I15" s="14">
        <v>0.5</v>
      </c>
      <c r="J15" s="13" t="s">
        <v>147</v>
      </c>
      <c r="K15" s="14">
        <v>0</v>
      </c>
      <c r="L15" s="14">
        <v>0.15</v>
      </c>
      <c r="M15" s="14">
        <v>0.75</v>
      </c>
      <c r="N15" s="15" t="s">
        <v>61</v>
      </c>
      <c r="O15" s="13" t="s">
        <v>62</v>
      </c>
      <c r="P15" s="13" t="s">
        <v>63</v>
      </c>
      <c r="Q15" s="13" t="s">
        <v>153</v>
      </c>
      <c r="R15" s="13" t="b">
        <f>FALSE()</f>
        <v>0</v>
      </c>
      <c r="S15" s="13" t="b">
        <f>FALSE()</f>
        <v>0</v>
      </c>
      <c r="T15" s="16" t="s">
        <v>65</v>
      </c>
      <c r="U15" s="13"/>
      <c r="V15" s="13" t="s">
        <v>154</v>
      </c>
      <c r="W15" s="17" t="s">
        <v>67</v>
      </c>
    </row>
    <row r="16" spans="1:23" ht="30">
      <c r="A16" s="13" t="s">
        <v>155</v>
      </c>
      <c r="B16" s="13" t="s">
        <v>156</v>
      </c>
      <c r="C16" s="13" t="s">
        <v>157</v>
      </c>
      <c r="D16" s="13" t="s">
        <v>121</v>
      </c>
      <c r="E16" s="13" t="s">
        <v>158</v>
      </c>
      <c r="F16" s="13" t="s">
        <v>59</v>
      </c>
      <c r="G16" s="14">
        <v>6</v>
      </c>
      <c r="H16" s="14">
        <v>9</v>
      </c>
      <c r="I16" s="14">
        <v>12</v>
      </c>
      <c r="J16" s="13" t="s">
        <v>159</v>
      </c>
      <c r="K16" s="14">
        <v>12</v>
      </c>
      <c r="L16" s="14">
        <v>18</v>
      </c>
      <c r="M16" s="14">
        <v>24</v>
      </c>
      <c r="N16" s="18" t="s">
        <v>92</v>
      </c>
      <c r="O16" s="13" t="s">
        <v>141</v>
      </c>
      <c r="P16" s="13" t="s">
        <v>63</v>
      </c>
      <c r="Q16" s="13" t="s">
        <v>160</v>
      </c>
      <c r="R16" s="13" t="b">
        <f>TRUE()</f>
        <v>1</v>
      </c>
      <c r="S16" s="13" t="b">
        <f>TRUE()</f>
        <v>1</v>
      </c>
      <c r="T16" s="23" t="s">
        <v>126</v>
      </c>
      <c r="U16" s="13"/>
      <c r="V16" s="13" t="s">
        <v>161</v>
      </c>
      <c r="W16" s="19" t="s">
        <v>96</v>
      </c>
    </row>
    <row r="17" spans="1:23" ht="30">
      <c r="A17" s="13" t="s">
        <v>162</v>
      </c>
      <c r="B17" s="13" t="s">
        <v>163</v>
      </c>
      <c r="C17" s="13" t="s">
        <v>164</v>
      </c>
      <c r="D17" s="13" t="s">
        <v>165</v>
      </c>
      <c r="E17" s="13" t="s">
        <v>166</v>
      </c>
      <c r="F17" s="13" t="s">
        <v>59</v>
      </c>
      <c r="G17" s="14">
        <v>0</v>
      </c>
      <c r="H17" s="14">
        <v>11.18</v>
      </c>
      <c r="I17" s="14">
        <v>39.299999999999997</v>
      </c>
      <c r="J17" s="13" t="s">
        <v>91</v>
      </c>
      <c r="K17" s="14">
        <v>0</v>
      </c>
      <c r="L17" s="14">
        <v>3.35</v>
      </c>
      <c r="M17" s="14">
        <v>11.79</v>
      </c>
      <c r="N17" s="22" t="s">
        <v>123</v>
      </c>
      <c r="O17" s="13" t="s">
        <v>62</v>
      </c>
      <c r="P17" s="13" t="s">
        <v>167</v>
      </c>
      <c r="Q17" s="13" t="s">
        <v>168</v>
      </c>
      <c r="R17" s="13" t="b">
        <f>TRUE()</f>
        <v>1</v>
      </c>
      <c r="S17" s="13" t="b">
        <f>TRUE()</f>
        <v>1</v>
      </c>
      <c r="T17" s="23" t="s">
        <v>126</v>
      </c>
      <c r="U17" s="13" t="s">
        <v>169</v>
      </c>
      <c r="V17" s="13" t="s">
        <v>161</v>
      </c>
      <c r="W17" s="20" t="s">
        <v>103</v>
      </c>
    </row>
    <row r="18" spans="1:23" ht="30">
      <c r="A18" s="13" t="s">
        <v>170</v>
      </c>
      <c r="B18" s="13" t="s">
        <v>171</v>
      </c>
      <c r="C18" s="13" t="s">
        <v>172</v>
      </c>
      <c r="D18" s="13" t="s">
        <v>173</v>
      </c>
      <c r="E18" s="13" t="s">
        <v>174</v>
      </c>
      <c r="F18" s="13" t="s">
        <v>59</v>
      </c>
      <c r="G18" s="14">
        <v>0</v>
      </c>
      <c r="H18" s="14">
        <v>1</v>
      </c>
      <c r="I18" s="14">
        <v>3.7</v>
      </c>
      <c r="J18" s="13" t="s">
        <v>132</v>
      </c>
      <c r="K18" s="14">
        <v>0</v>
      </c>
      <c r="L18" s="14">
        <v>0.4</v>
      </c>
      <c r="M18" s="14">
        <v>1.48</v>
      </c>
      <c r="N18" s="18" t="s">
        <v>92</v>
      </c>
      <c r="O18" s="13" t="s">
        <v>62</v>
      </c>
      <c r="P18" s="13" t="s">
        <v>175</v>
      </c>
      <c r="Q18" s="13" t="s">
        <v>176</v>
      </c>
      <c r="R18" s="13" t="b">
        <f>TRUE()</f>
        <v>1</v>
      </c>
      <c r="S18" s="13" t="b">
        <f>TRUE()</f>
        <v>1</v>
      </c>
      <c r="T18" s="18" t="s">
        <v>84</v>
      </c>
      <c r="U18" s="13"/>
      <c r="V18" s="13" t="s">
        <v>161</v>
      </c>
      <c r="W18" s="19" t="s">
        <v>96</v>
      </c>
    </row>
    <row r="19" spans="1:23" ht="30">
      <c r="A19" s="13" t="s">
        <v>177</v>
      </c>
      <c r="B19" s="13" t="s">
        <v>178</v>
      </c>
      <c r="C19" s="13" t="s">
        <v>179</v>
      </c>
      <c r="D19" s="13" t="s">
        <v>180</v>
      </c>
      <c r="E19" s="13" t="s">
        <v>181</v>
      </c>
      <c r="F19" s="13" t="s">
        <v>59</v>
      </c>
      <c r="G19" s="14"/>
      <c r="H19" s="14">
        <v>1</v>
      </c>
      <c r="I19" s="14">
        <v>5</v>
      </c>
      <c r="J19" s="13" t="s">
        <v>91</v>
      </c>
      <c r="K19" s="14"/>
      <c r="L19" s="14">
        <v>0.3</v>
      </c>
      <c r="M19" s="14">
        <v>1.5</v>
      </c>
      <c r="N19" s="24" t="s">
        <v>140</v>
      </c>
      <c r="O19" s="13" t="s">
        <v>141</v>
      </c>
      <c r="P19" s="13" t="s">
        <v>63</v>
      </c>
      <c r="Q19" s="13" t="s">
        <v>182</v>
      </c>
      <c r="R19" s="13" t="b">
        <f>TRUE()</f>
        <v>1</v>
      </c>
      <c r="S19" s="13" t="b">
        <f>TRUE()</f>
        <v>1</v>
      </c>
      <c r="T19" s="23" t="s">
        <v>126</v>
      </c>
      <c r="U19" s="13"/>
      <c r="V19" s="13" t="s">
        <v>161</v>
      </c>
      <c r="W19" s="19" t="s">
        <v>96</v>
      </c>
    </row>
    <row r="20" spans="1:23" ht="30">
      <c r="A20" s="13" t="s">
        <v>183</v>
      </c>
      <c r="B20" s="13" t="s">
        <v>184</v>
      </c>
      <c r="C20" s="13" t="s">
        <v>185</v>
      </c>
      <c r="D20" s="13" t="s">
        <v>165</v>
      </c>
      <c r="E20" s="13" t="s">
        <v>186</v>
      </c>
      <c r="F20" s="13" t="s">
        <v>59</v>
      </c>
      <c r="G20" s="14"/>
      <c r="H20" s="14">
        <v>12</v>
      </c>
      <c r="I20" s="14">
        <v>20</v>
      </c>
      <c r="J20" s="13" t="s">
        <v>60</v>
      </c>
      <c r="K20" s="14"/>
      <c r="L20" s="14">
        <v>12</v>
      </c>
      <c r="M20" s="14">
        <v>20</v>
      </c>
      <c r="N20" s="24" t="s">
        <v>140</v>
      </c>
      <c r="O20" s="13" t="s">
        <v>141</v>
      </c>
      <c r="P20" s="13" t="s">
        <v>187</v>
      </c>
      <c r="Q20" s="13" t="s">
        <v>188</v>
      </c>
      <c r="R20" s="13" t="b">
        <f>TRUE()</f>
        <v>1</v>
      </c>
      <c r="S20" s="13" t="b">
        <f>TRUE()</f>
        <v>1</v>
      </c>
      <c r="T20" s="23" t="s">
        <v>126</v>
      </c>
      <c r="U20" s="13"/>
      <c r="V20" s="13" t="s">
        <v>189</v>
      </c>
      <c r="W20" s="19" t="s">
        <v>96</v>
      </c>
    </row>
    <row r="21" spans="1:23">
      <c r="A21" s="13" t="s">
        <v>190</v>
      </c>
      <c r="B21" s="13" t="s">
        <v>191</v>
      </c>
      <c r="C21" s="13" t="s">
        <v>192</v>
      </c>
      <c r="D21" s="13" t="s">
        <v>193</v>
      </c>
      <c r="E21" s="13" t="s">
        <v>194</v>
      </c>
      <c r="F21" s="13" t="s">
        <v>59</v>
      </c>
      <c r="G21" s="14">
        <v>7.9</v>
      </c>
      <c r="H21" s="14">
        <v>11</v>
      </c>
      <c r="I21" s="14">
        <v>14.5</v>
      </c>
      <c r="J21" s="13" t="s">
        <v>195</v>
      </c>
      <c r="K21" s="14">
        <v>4</v>
      </c>
      <c r="L21" s="14">
        <v>5.5</v>
      </c>
      <c r="M21" s="14">
        <v>7.25</v>
      </c>
      <c r="N21" s="18" t="s">
        <v>92</v>
      </c>
      <c r="O21" s="13" t="s">
        <v>62</v>
      </c>
      <c r="P21" s="13" t="s">
        <v>196</v>
      </c>
      <c r="Q21" s="13" t="s">
        <v>197</v>
      </c>
      <c r="R21" s="13" t="b">
        <f>TRUE()</f>
        <v>1</v>
      </c>
      <c r="S21" s="13" t="b">
        <f>TRUE()</f>
        <v>1</v>
      </c>
      <c r="T21" s="18" t="s">
        <v>84</v>
      </c>
      <c r="U21" s="13"/>
      <c r="V21" s="13" t="s">
        <v>198</v>
      </c>
      <c r="W21" s="21" t="s">
        <v>110</v>
      </c>
    </row>
    <row r="22" spans="1:23" ht="30">
      <c r="A22" s="13" t="s">
        <v>199</v>
      </c>
      <c r="B22" s="13" t="s">
        <v>200</v>
      </c>
      <c r="C22" s="13" t="s">
        <v>201</v>
      </c>
      <c r="D22" s="13" t="s">
        <v>193</v>
      </c>
      <c r="E22" s="13" t="s">
        <v>202</v>
      </c>
      <c r="F22" s="13" t="s">
        <v>59</v>
      </c>
      <c r="G22" s="14"/>
      <c r="H22" s="14">
        <v>2</v>
      </c>
      <c r="I22" s="14">
        <v>10</v>
      </c>
      <c r="J22" s="13" t="s">
        <v>195</v>
      </c>
      <c r="K22" s="14"/>
      <c r="L22" s="14">
        <v>1</v>
      </c>
      <c r="M22" s="14">
        <v>5</v>
      </c>
      <c r="N22" s="24" t="s">
        <v>140</v>
      </c>
      <c r="O22" s="13" t="s">
        <v>141</v>
      </c>
      <c r="P22" s="13" t="s">
        <v>187</v>
      </c>
      <c r="Q22" s="13" t="s">
        <v>203</v>
      </c>
      <c r="R22" s="13" t="b">
        <f>TRUE()</f>
        <v>1</v>
      </c>
      <c r="S22" s="13" t="b">
        <f>TRUE()</f>
        <v>1</v>
      </c>
      <c r="T22" s="23" t="s">
        <v>126</v>
      </c>
      <c r="U22" s="13"/>
      <c r="V22" s="13" t="s">
        <v>198</v>
      </c>
      <c r="W22" s="19" t="s">
        <v>96</v>
      </c>
    </row>
    <row r="23" spans="1:23" ht="30">
      <c r="A23" s="13" t="s">
        <v>204</v>
      </c>
      <c r="B23" s="13" t="s">
        <v>205</v>
      </c>
      <c r="C23" s="13" t="s">
        <v>206</v>
      </c>
      <c r="D23" s="13" t="s">
        <v>121</v>
      </c>
      <c r="E23" s="13" t="s">
        <v>207</v>
      </c>
      <c r="F23" s="13" t="s">
        <v>59</v>
      </c>
      <c r="G23" s="14">
        <v>0</v>
      </c>
      <c r="H23" s="14">
        <v>2</v>
      </c>
      <c r="I23" s="14">
        <v>13</v>
      </c>
      <c r="J23" s="13" t="s">
        <v>195</v>
      </c>
      <c r="K23" s="14">
        <v>0</v>
      </c>
      <c r="L23" s="14">
        <v>1</v>
      </c>
      <c r="M23" s="14">
        <v>6.5</v>
      </c>
      <c r="N23" s="18" t="s">
        <v>92</v>
      </c>
      <c r="O23" s="13" t="s">
        <v>62</v>
      </c>
      <c r="P23" s="13" t="s">
        <v>63</v>
      </c>
      <c r="Q23" s="13" t="s">
        <v>208</v>
      </c>
      <c r="R23" s="13" t="b">
        <f>TRUE()</f>
        <v>1</v>
      </c>
      <c r="S23" s="13" t="b">
        <f>TRUE()</f>
        <v>1</v>
      </c>
      <c r="T23" s="23" t="s">
        <v>126</v>
      </c>
      <c r="U23" s="13"/>
      <c r="V23" s="13" t="s">
        <v>198</v>
      </c>
      <c r="W23" s="19" t="s">
        <v>96</v>
      </c>
    </row>
    <row r="24" spans="1:23">
      <c r="A24" s="13" t="s">
        <v>209</v>
      </c>
      <c r="B24" s="13" t="s">
        <v>210</v>
      </c>
      <c r="C24" s="13" t="s">
        <v>211</v>
      </c>
      <c r="D24" s="13" t="s">
        <v>212</v>
      </c>
      <c r="E24" s="13" t="s">
        <v>213</v>
      </c>
      <c r="F24" s="13" t="s">
        <v>59</v>
      </c>
      <c r="G24" s="14"/>
      <c r="H24" s="14">
        <v>15</v>
      </c>
      <c r="I24" s="14">
        <v>40</v>
      </c>
      <c r="J24" s="13" t="s">
        <v>91</v>
      </c>
      <c r="K24" s="14"/>
      <c r="L24" s="14">
        <v>4.5</v>
      </c>
      <c r="M24" s="14">
        <v>12</v>
      </c>
      <c r="N24" s="24" t="s">
        <v>140</v>
      </c>
      <c r="O24" s="13" t="s">
        <v>141</v>
      </c>
      <c r="P24" s="13" t="s">
        <v>214</v>
      </c>
      <c r="Q24" s="13" t="s">
        <v>215</v>
      </c>
      <c r="R24" s="13" t="b">
        <f>TRUE()</f>
        <v>1</v>
      </c>
      <c r="S24" s="13" t="b">
        <f>TRUE()</f>
        <v>1</v>
      </c>
      <c r="T24" s="23" t="s">
        <v>126</v>
      </c>
      <c r="U24" s="13"/>
      <c r="V24" s="13" t="s">
        <v>198</v>
      </c>
      <c r="W24" s="21" t="s">
        <v>110</v>
      </c>
    </row>
    <row r="25" spans="1:23" ht="30">
      <c r="A25" s="13" t="s">
        <v>216</v>
      </c>
      <c r="B25" s="13" t="s">
        <v>217</v>
      </c>
      <c r="C25" s="13" t="s">
        <v>218</v>
      </c>
      <c r="D25" s="13" t="s">
        <v>121</v>
      </c>
      <c r="E25" s="13" t="s">
        <v>219</v>
      </c>
      <c r="F25" s="13" t="s">
        <v>59</v>
      </c>
      <c r="G25" s="14"/>
      <c r="H25" s="14">
        <v>40</v>
      </c>
      <c r="I25" s="14">
        <v>60</v>
      </c>
      <c r="J25" s="13" t="s">
        <v>195</v>
      </c>
      <c r="K25" s="14"/>
      <c r="L25" s="14">
        <v>20</v>
      </c>
      <c r="M25" s="14">
        <v>30</v>
      </c>
      <c r="N25" s="24" t="s">
        <v>140</v>
      </c>
      <c r="O25" s="13" t="s">
        <v>141</v>
      </c>
      <c r="P25" s="13" t="s">
        <v>63</v>
      </c>
      <c r="Q25" s="13" t="s">
        <v>220</v>
      </c>
      <c r="R25" s="13" t="b">
        <f>TRUE()</f>
        <v>1</v>
      </c>
      <c r="S25" s="13" t="b">
        <f>TRUE()</f>
        <v>1</v>
      </c>
      <c r="T25" s="23" t="s">
        <v>126</v>
      </c>
      <c r="U25" s="13"/>
      <c r="V25" s="13" t="s">
        <v>221</v>
      </c>
      <c r="W25" s="19" t="s">
        <v>96</v>
      </c>
    </row>
    <row r="26" spans="1:23" ht="30">
      <c r="A26" s="13" t="s">
        <v>222</v>
      </c>
      <c r="B26" s="13" t="s">
        <v>223</v>
      </c>
      <c r="C26" s="13" t="s">
        <v>224</v>
      </c>
      <c r="D26" s="13" t="s">
        <v>225</v>
      </c>
      <c r="E26" s="13" t="s">
        <v>226</v>
      </c>
      <c r="F26" s="13" t="s">
        <v>59</v>
      </c>
      <c r="G26" s="14">
        <v>4.4000000000000004</v>
      </c>
      <c r="H26" s="14">
        <v>17.399999999999999</v>
      </c>
      <c r="I26" s="14">
        <v>90</v>
      </c>
      <c r="J26" s="13" t="s">
        <v>60</v>
      </c>
      <c r="K26" s="14">
        <v>4.4000000000000004</v>
      </c>
      <c r="L26" s="14">
        <v>17.399999999999999</v>
      </c>
      <c r="M26" s="14">
        <v>90</v>
      </c>
      <c r="N26" s="22" t="s">
        <v>123</v>
      </c>
      <c r="O26" s="13" t="s">
        <v>62</v>
      </c>
      <c r="P26" s="13" t="s">
        <v>227</v>
      </c>
      <c r="Q26" s="13" t="s">
        <v>228</v>
      </c>
      <c r="R26" s="13" t="b">
        <f>TRUE()</f>
        <v>1</v>
      </c>
      <c r="S26" s="13" t="b">
        <f>TRUE()</f>
        <v>1</v>
      </c>
      <c r="T26" s="23" t="s">
        <v>126</v>
      </c>
      <c r="U26" s="13" t="s">
        <v>229</v>
      </c>
      <c r="V26" s="13" t="s">
        <v>230</v>
      </c>
      <c r="W26" s="19" t="s">
        <v>96</v>
      </c>
    </row>
    <row r="27" spans="1:23" ht="45">
      <c r="A27" s="13" t="s">
        <v>231</v>
      </c>
      <c r="B27" s="13" t="s">
        <v>232</v>
      </c>
      <c r="C27" s="13" t="s">
        <v>233</v>
      </c>
      <c r="D27" s="13" t="s">
        <v>234</v>
      </c>
      <c r="E27" s="13" t="s">
        <v>219</v>
      </c>
      <c r="F27" s="13" t="s">
        <v>59</v>
      </c>
      <c r="G27" s="14"/>
      <c r="H27" s="14">
        <v>4</v>
      </c>
      <c r="I27" s="14">
        <v>12</v>
      </c>
      <c r="J27" s="13" t="s">
        <v>60</v>
      </c>
      <c r="K27" s="14"/>
      <c r="L27" s="14">
        <v>4</v>
      </c>
      <c r="M27" s="14">
        <v>12</v>
      </c>
      <c r="N27" s="24" t="s">
        <v>140</v>
      </c>
      <c r="O27" s="13" t="s">
        <v>141</v>
      </c>
      <c r="P27" s="13" t="s">
        <v>235</v>
      </c>
      <c r="Q27" s="13" t="s">
        <v>236</v>
      </c>
      <c r="R27" s="13" t="b">
        <f>TRUE()</f>
        <v>1</v>
      </c>
      <c r="S27" s="13" t="b">
        <f>TRUE()</f>
        <v>1</v>
      </c>
      <c r="T27" s="23" t="s">
        <v>126</v>
      </c>
      <c r="U27" s="13"/>
      <c r="V27" s="13" t="s">
        <v>230</v>
      </c>
      <c r="W27" s="21" t="s">
        <v>110</v>
      </c>
    </row>
    <row r="28" spans="1:23" ht="30">
      <c r="A28" s="13" t="s">
        <v>237</v>
      </c>
      <c r="B28" s="13" t="s">
        <v>238</v>
      </c>
      <c r="C28" s="13" t="s">
        <v>239</v>
      </c>
      <c r="D28" s="13" t="s">
        <v>240</v>
      </c>
      <c r="E28" s="13" t="s">
        <v>241</v>
      </c>
      <c r="F28" s="13" t="s">
        <v>80</v>
      </c>
      <c r="G28" s="14">
        <v>2.9</v>
      </c>
      <c r="H28" s="14">
        <v>15</v>
      </c>
      <c r="I28" s="14">
        <v>77.5</v>
      </c>
      <c r="J28" s="13" t="s">
        <v>242</v>
      </c>
      <c r="K28" s="14">
        <v>0.44</v>
      </c>
      <c r="L28" s="14">
        <v>2.25</v>
      </c>
      <c r="M28" s="14">
        <v>11.63</v>
      </c>
      <c r="N28" s="22" t="s">
        <v>123</v>
      </c>
      <c r="O28" s="13" t="s">
        <v>62</v>
      </c>
      <c r="P28" s="13" t="s">
        <v>243</v>
      </c>
      <c r="Q28" s="13" t="s">
        <v>244</v>
      </c>
      <c r="R28" s="13" t="b">
        <f>TRUE()</f>
        <v>1</v>
      </c>
      <c r="S28" s="13" t="b">
        <f>TRUE()</f>
        <v>1</v>
      </c>
      <c r="T28" s="23" t="s">
        <v>126</v>
      </c>
      <c r="U28" s="13" t="s">
        <v>245</v>
      </c>
      <c r="V28" s="13" t="s">
        <v>246</v>
      </c>
      <c r="W28" s="20" t="s">
        <v>103</v>
      </c>
    </row>
    <row r="29" spans="1:23" ht="30">
      <c r="A29" s="13" t="s">
        <v>247</v>
      </c>
      <c r="B29" s="13" t="s">
        <v>248</v>
      </c>
      <c r="C29" s="13" t="s">
        <v>249</v>
      </c>
      <c r="D29" s="13" t="s">
        <v>250</v>
      </c>
      <c r="E29" s="13" t="s">
        <v>251</v>
      </c>
      <c r="F29" s="13" t="s">
        <v>59</v>
      </c>
      <c r="G29" s="14">
        <v>0</v>
      </c>
      <c r="H29" s="14">
        <v>6</v>
      </c>
      <c r="I29" s="14">
        <v>17</v>
      </c>
      <c r="J29" s="13" t="s">
        <v>116</v>
      </c>
      <c r="K29" s="14">
        <v>0</v>
      </c>
      <c r="L29" s="14">
        <v>1.2</v>
      </c>
      <c r="M29" s="14">
        <v>3.4</v>
      </c>
      <c r="N29" s="18" t="s">
        <v>92</v>
      </c>
      <c r="O29" s="13" t="s">
        <v>62</v>
      </c>
      <c r="P29" s="13" t="s">
        <v>63</v>
      </c>
      <c r="Q29" s="13" t="s">
        <v>252</v>
      </c>
      <c r="R29" s="13" t="b">
        <f>TRUE()</f>
        <v>1</v>
      </c>
      <c r="S29" s="13" t="b">
        <f>TRUE()</f>
        <v>1</v>
      </c>
      <c r="T29" s="18" t="s">
        <v>84</v>
      </c>
      <c r="U29" s="13"/>
      <c r="V29" s="13" t="s">
        <v>246</v>
      </c>
      <c r="W29" s="19" t="s">
        <v>96</v>
      </c>
    </row>
    <row r="30" spans="1:23" ht="30">
      <c r="A30" s="13" t="s">
        <v>253</v>
      </c>
      <c r="B30" s="13" t="s">
        <v>254</v>
      </c>
      <c r="C30" s="13" t="s">
        <v>255</v>
      </c>
      <c r="D30" s="13" t="s">
        <v>256</v>
      </c>
      <c r="E30" s="13" t="s">
        <v>257</v>
      </c>
      <c r="F30" s="13" t="s">
        <v>59</v>
      </c>
      <c r="G30" s="14">
        <v>1</v>
      </c>
      <c r="H30" s="14">
        <v>5</v>
      </c>
      <c r="I30" s="14">
        <v>10</v>
      </c>
      <c r="J30" s="13" t="s">
        <v>195</v>
      </c>
      <c r="K30" s="14">
        <v>0.5</v>
      </c>
      <c r="L30" s="14">
        <v>2.5</v>
      </c>
      <c r="M30" s="14">
        <v>5</v>
      </c>
      <c r="N30" s="18" t="s">
        <v>92</v>
      </c>
      <c r="O30" s="13" t="s">
        <v>62</v>
      </c>
      <c r="P30" s="13" t="s">
        <v>63</v>
      </c>
      <c r="Q30" s="13" t="s">
        <v>258</v>
      </c>
      <c r="R30" s="13" t="b">
        <f>TRUE()</f>
        <v>1</v>
      </c>
      <c r="S30" s="13" t="b">
        <f>TRUE()</f>
        <v>1</v>
      </c>
      <c r="T30" s="18" t="s">
        <v>84</v>
      </c>
      <c r="U30" s="13"/>
      <c r="V30" s="13" t="s">
        <v>246</v>
      </c>
      <c r="W30" s="19" t="s">
        <v>96</v>
      </c>
    </row>
    <row r="31" spans="1:23">
      <c r="A31" s="13" t="s">
        <v>259</v>
      </c>
      <c r="B31" s="13" t="s">
        <v>260</v>
      </c>
      <c r="C31" s="13" t="s">
        <v>261</v>
      </c>
      <c r="D31" s="13" t="s">
        <v>262</v>
      </c>
      <c r="E31" s="13" t="s">
        <v>241</v>
      </c>
      <c r="F31" s="13" t="s">
        <v>80</v>
      </c>
      <c r="G31" s="14">
        <v>10</v>
      </c>
      <c r="H31" s="14">
        <v>35</v>
      </c>
      <c r="I31" s="14">
        <v>58.8</v>
      </c>
      <c r="J31" s="13" t="s">
        <v>263</v>
      </c>
      <c r="K31" s="14">
        <v>1</v>
      </c>
      <c r="L31" s="14">
        <v>3.5</v>
      </c>
      <c r="M31" s="14">
        <v>5.88</v>
      </c>
      <c r="N31" s="18" t="s">
        <v>92</v>
      </c>
      <c r="O31" s="13" t="s">
        <v>62</v>
      </c>
      <c r="P31" s="13" t="s">
        <v>264</v>
      </c>
      <c r="Q31" s="13" t="s">
        <v>265</v>
      </c>
      <c r="R31" s="13" t="b">
        <f>TRUE()</f>
        <v>1</v>
      </c>
      <c r="S31" s="13" t="b">
        <f>TRUE()</f>
        <v>1</v>
      </c>
      <c r="T31" s="23" t="s">
        <v>126</v>
      </c>
      <c r="U31" s="13"/>
      <c r="V31" s="13" t="s">
        <v>221</v>
      </c>
      <c r="W31" s="19" t="s">
        <v>96</v>
      </c>
    </row>
    <row r="32" spans="1:23" ht="30">
      <c r="A32" s="13" t="s">
        <v>266</v>
      </c>
      <c r="B32" s="13" t="s">
        <v>267</v>
      </c>
      <c r="C32" s="13" t="s">
        <v>268</v>
      </c>
      <c r="D32" s="13" t="s">
        <v>121</v>
      </c>
      <c r="E32" s="13" t="s">
        <v>269</v>
      </c>
      <c r="F32" s="13" t="s">
        <v>59</v>
      </c>
      <c r="G32" s="14">
        <v>32.200000000000003</v>
      </c>
      <c r="H32" s="14">
        <v>48</v>
      </c>
      <c r="I32" s="14">
        <v>65</v>
      </c>
      <c r="J32" s="13" t="s">
        <v>270</v>
      </c>
      <c r="K32" s="14">
        <v>1.61</v>
      </c>
      <c r="L32" s="14">
        <v>2.4</v>
      </c>
      <c r="M32" s="14">
        <v>3.25</v>
      </c>
      <c r="N32" s="15" t="s">
        <v>61</v>
      </c>
      <c r="O32" s="13" t="s">
        <v>62</v>
      </c>
      <c r="P32" s="13" t="s">
        <v>271</v>
      </c>
      <c r="Q32" s="13" t="s">
        <v>272</v>
      </c>
      <c r="R32" s="13" t="b">
        <f>TRUE()</f>
        <v>1</v>
      </c>
      <c r="S32" s="13" t="b">
        <f>TRUE()</f>
        <v>1</v>
      </c>
      <c r="T32" s="18" t="s">
        <v>84</v>
      </c>
      <c r="U32" s="13" t="s">
        <v>273</v>
      </c>
      <c r="V32" s="13" t="s">
        <v>274</v>
      </c>
      <c r="W32" s="20" t="s">
        <v>103</v>
      </c>
    </row>
    <row r="33" spans="1:23">
      <c r="A33" s="13" t="s">
        <v>275</v>
      </c>
      <c r="B33" s="13" t="s">
        <v>276</v>
      </c>
      <c r="C33" s="13" t="s">
        <v>277</v>
      </c>
      <c r="D33" s="13" t="s">
        <v>121</v>
      </c>
      <c r="E33" s="13" t="s">
        <v>278</v>
      </c>
      <c r="F33" s="13" t="s">
        <v>80</v>
      </c>
      <c r="G33" s="14">
        <v>0</v>
      </c>
      <c r="H33" s="14">
        <v>6.5000000000000002E-2</v>
      </c>
      <c r="I33" s="14">
        <v>0.316</v>
      </c>
      <c r="J33" s="13" t="s">
        <v>279</v>
      </c>
      <c r="K33" s="14">
        <v>0</v>
      </c>
      <c r="L33" s="14">
        <v>0.21</v>
      </c>
      <c r="M33" s="14">
        <v>1.04</v>
      </c>
      <c r="N33" s="22" t="s">
        <v>123</v>
      </c>
      <c r="O33" s="13" t="s">
        <v>62</v>
      </c>
      <c r="P33" s="13" t="s">
        <v>280</v>
      </c>
      <c r="Q33" s="13" t="s">
        <v>281</v>
      </c>
      <c r="R33" s="13" t="b">
        <f>FALSE()</f>
        <v>0</v>
      </c>
      <c r="S33" s="13" t="b">
        <f>FALSE()</f>
        <v>0</v>
      </c>
      <c r="T33" s="16" t="s">
        <v>65</v>
      </c>
      <c r="U33" s="13"/>
      <c r="V33" s="13" t="s">
        <v>282</v>
      </c>
      <c r="W33" s="17" t="s">
        <v>67</v>
      </c>
    </row>
    <row r="34" spans="1:23">
      <c r="A34" s="13" t="s">
        <v>283</v>
      </c>
      <c r="B34" s="13" t="s">
        <v>284</v>
      </c>
      <c r="C34" s="13" t="s">
        <v>285</v>
      </c>
      <c r="D34" s="13" t="s">
        <v>121</v>
      </c>
      <c r="E34" s="13" t="s">
        <v>286</v>
      </c>
      <c r="F34" s="13" t="s">
        <v>80</v>
      </c>
      <c r="G34" s="14">
        <v>2.63</v>
      </c>
      <c r="H34" s="14">
        <v>6</v>
      </c>
      <c r="I34" s="14">
        <v>11.29</v>
      </c>
      <c r="J34" s="13" t="s">
        <v>279</v>
      </c>
      <c r="K34" s="14">
        <v>8.68</v>
      </c>
      <c r="L34" s="14">
        <v>19.8</v>
      </c>
      <c r="M34" s="14">
        <v>37.26</v>
      </c>
      <c r="N34" s="22" t="s">
        <v>123</v>
      </c>
      <c r="O34" s="13" t="s">
        <v>62</v>
      </c>
      <c r="P34" s="13" t="s">
        <v>280</v>
      </c>
      <c r="Q34" s="13" t="s">
        <v>287</v>
      </c>
      <c r="R34" s="13" t="b">
        <f>TRUE()</f>
        <v>1</v>
      </c>
      <c r="S34" s="13" t="b">
        <f>TRUE()</f>
        <v>1</v>
      </c>
      <c r="T34" s="23" t="s">
        <v>126</v>
      </c>
      <c r="U34" s="13"/>
      <c r="V34" s="13" t="s">
        <v>288</v>
      </c>
      <c r="W34" s="19" t="s">
        <v>96</v>
      </c>
    </row>
    <row r="35" spans="1:23">
      <c r="A35" s="13" t="s">
        <v>289</v>
      </c>
      <c r="B35" s="13" t="s">
        <v>290</v>
      </c>
      <c r="C35" s="13" t="s">
        <v>291</v>
      </c>
      <c r="D35" s="13" t="s">
        <v>121</v>
      </c>
      <c r="E35" s="13" t="s">
        <v>292</v>
      </c>
      <c r="F35" s="13" t="s">
        <v>80</v>
      </c>
      <c r="G35" s="14">
        <v>0</v>
      </c>
      <c r="H35" s="14">
        <v>0.76</v>
      </c>
      <c r="I35" s="14">
        <v>3</v>
      </c>
      <c r="J35" s="13" t="s">
        <v>293</v>
      </c>
      <c r="K35" s="14">
        <v>0</v>
      </c>
      <c r="L35" s="14">
        <v>1.1399999999999999</v>
      </c>
      <c r="M35" s="14">
        <v>4.5</v>
      </c>
      <c r="N35" s="15" t="s">
        <v>61</v>
      </c>
      <c r="O35" s="13" t="s">
        <v>62</v>
      </c>
      <c r="P35" s="13" t="s">
        <v>294</v>
      </c>
      <c r="Q35" s="13" t="s">
        <v>295</v>
      </c>
      <c r="R35" s="13" t="b">
        <f>TRUE()</f>
        <v>1</v>
      </c>
      <c r="S35" s="13" t="b">
        <f>TRUE()</f>
        <v>1</v>
      </c>
      <c r="T35" s="18" t="s">
        <v>84</v>
      </c>
      <c r="U35" s="13"/>
      <c r="V35" s="13" t="s">
        <v>296</v>
      </c>
      <c r="W35" s="20" t="s">
        <v>103</v>
      </c>
    </row>
    <row r="36" spans="1:23">
      <c r="A36" s="13" t="s">
        <v>297</v>
      </c>
      <c r="B36" s="13" t="s">
        <v>298</v>
      </c>
      <c r="C36" s="13" t="s">
        <v>299</v>
      </c>
      <c r="D36" s="13" t="s">
        <v>121</v>
      </c>
      <c r="E36" s="13" t="s">
        <v>292</v>
      </c>
      <c r="F36" s="13" t="s">
        <v>80</v>
      </c>
      <c r="G36" s="14">
        <v>0</v>
      </c>
      <c r="H36" s="14">
        <v>0.2</v>
      </c>
      <c r="I36" s="14">
        <v>1</v>
      </c>
      <c r="J36" s="13" t="s">
        <v>293</v>
      </c>
      <c r="K36" s="14">
        <v>0</v>
      </c>
      <c r="L36" s="14">
        <v>0.3</v>
      </c>
      <c r="M36" s="14">
        <v>1.5</v>
      </c>
      <c r="N36" s="15" t="s">
        <v>61</v>
      </c>
      <c r="O36" s="13" t="s">
        <v>62</v>
      </c>
      <c r="P36" s="13" t="s">
        <v>300</v>
      </c>
      <c r="Q36" s="13" t="s">
        <v>301</v>
      </c>
      <c r="R36" s="13" t="b">
        <f>TRUE()</f>
        <v>1</v>
      </c>
      <c r="S36" s="13" t="b">
        <f>TRUE()</f>
        <v>1</v>
      </c>
      <c r="T36" s="16" t="s">
        <v>65</v>
      </c>
      <c r="U36" s="13"/>
      <c r="V36" s="13" t="s">
        <v>282</v>
      </c>
      <c r="W36" s="20" t="s">
        <v>103</v>
      </c>
    </row>
    <row r="37" spans="1:23" ht="60">
      <c r="A37" s="13" t="s">
        <v>302</v>
      </c>
      <c r="B37" s="13" t="s">
        <v>303</v>
      </c>
      <c r="C37" s="13" t="s">
        <v>304</v>
      </c>
      <c r="D37" s="13" t="s">
        <v>305</v>
      </c>
      <c r="E37" s="13" t="s">
        <v>306</v>
      </c>
      <c r="F37" s="13" t="s">
        <v>80</v>
      </c>
      <c r="G37" s="14"/>
      <c r="H37" s="14">
        <v>0.2</v>
      </c>
      <c r="I37" s="14">
        <v>0.5</v>
      </c>
      <c r="J37" s="13" t="s">
        <v>81</v>
      </c>
      <c r="K37" s="14"/>
      <c r="L37" s="14">
        <v>0.5</v>
      </c>
      <c r="M37" s="14">
        <v>1.25</v>
      </c>
      <c r="N37" s="24" t="s">
        <v>140</v>
      </c>
      <c r="O37" s="13" t="s">
        <v>141</v>
      </c>
      <c r="P37" s="13" t="s">
        <v>307</v>
      </c>
      <c r="Q37" s="13" t="s">
        <v>308</v>
      </c>
      <c r="R37" s="13" t="b">
        <f>TRUE()</f>
        <v>1</v>
      </c>
      <c r="S37" s="13" t="b">
        <f>TRUE()</f>
        <v>1</v>
      </c>
      <c r="T37" s="18" t="s">
        <v>84</v>
      </c>
      <c r="U37" s="13"/>
      <c r="V37" s="13" t="s">
        <v>309</v>
      </c>
      <c r="W37" s="20" t="s">
        <v>103</v>
      </c>
    </row>
    <row r="38" spans="1:23" ht="60">
      <c r="A38" s="13" t="s">
        <v>310</v>
      </c>
      <c r="B38" s="13" t="s">
        <v>311</v>
      </c>
      <c r="C38" s="13" t="s">
        <v>312</v>
      </c>
      <c r="D38" s="13" t="s">
        <v>305</v>
      </c>
      <c r="E38" s="13" t="s">
        <v>306</v>
      </c>
      <c r="F38" s="13" t="s">
        <v>80</v>
      </c>
      <c r="G38" s="14"/>
      <c r="H38" s="14">
        <v>0.4</v>
      </c>
      <c r="I38" s="14">
        <v>1</v>
      </c>
      <c r="J38" s="13" t="s">
        <v>81</v>
      </c>
      <c r="K38" s="14"/>
      <c r="L38" s="14">
        <v>1</v>
      </c>
      <c r="M38" s="14">
        <v>2.5</v>
      </c>
      <c r="N38" s="24" t="s">
        <v>140</v>
      </c>
      <c r="O38" s="13" t="s">
        <v>141</v>
      </c>
      <c r="P38" s="13" t="s">
        <v>313</v>
      </c>
      <c r="Q38" s="13" t="s">
        <v>314</v>
      </c>
      <c r="R38" s="13" t="b">
        <f>TRUE()</f>
        <v>1</v>
      </c>
      <c r="S38" s="13" t="b">
        <f>TRUE()</f>
        <v>1</v>
      </c>
      <c r="T38" s="18" t="s">
        <v>84</v>
      </c>
      <c r="U38" s="13"/>
      <c r="V38" s="13" t="s">
        <v>309</v>
      </c>
      <c r="W38" s="20" t="s">
        <v>103</v>
      </c>
    </row>
    <row r="39" spans="1:23" ht="30">
      <c r="A39" s="13" t="s">
        <v>315</v>
      </c>
      <c r="B39" s="13" t="s">
        <v>316</v>
      </c>
      <c r="C39" s="13" t="s">
        <v>317</v>
      </c>
      <c r="D39" s="13" t="s">
        <v>121</v>
      </c>
      <c r="E39" s="13" t="s">
        <v>318</v>
      </c>
      <c r="F39" s="13" t="s">
        <v>59</v>
      </c>
      <c r="G39" s="14">
        <v>0</v>
      </c>
      <c r="H39" s="14">
        <v>0.05</v>
      </c>
      <c r="I39" s="14">
        <v>0.2</v>
      </c>
      <c r="J39" s="13" t="s">
        <v>319</v>
      </c>
      <c r="K39" s="14">
        <v>0</v>
      </c>
      <c r="L39" s="14">
        <v>0.06</v>
      </c>
      <c r="M39" s="14">
        <v>0.24</v>
      </c>
      <c r="N39" s="18" t="s">
        <v>92</v>
      </c>
      <c r="O39" s="13" t="s">
        <v>62</v>
      </c>
      <c r="P39" s="13" t="s">
        <v>320</v>
      </c>
      <c r="Q39" s="13" t="s">
        <v>321</v>
      </c>
      <c r="R39" s="13" t="b">
        <f>FALSE()</f>
        <v>0</v>
      </c>
      <c r="S39" s="13" t="b">
        <f>FALSE()</f>
        <v>0</v>
      </c>
      <c r="T39" s="16" t="s">
        <v>65</v>
      </c>
      <c r="U39" s="13"/>
      <c r="V39" s="13" t="s">
        <v>322</v>
      </c>
      <c r="W39" s="20" t="s">
        <v>103</v>
      </c>
    </row>
    <row r="40" spans="1:23">
      <c r="A40" s="13" t="s">
        <v>323</v>
      </c>
      <c r="B40" s="13" t="s">
        <v>324</v>
      </c>
      <c r="C40" s="13" t="s">
        <v>325</v>
      </c>
      <c r="D40" s="13" t="s">
        <v>121</v>
      </c>
      <c r="E40" s="13" t="s">
        <v>326</v>
      </c>
      <c r="F40" s="13" t="s">
        <v>59</v>
      </c>
      <c r="G40" s="14"/>
      <c r="H40" s="14"/>
      <c r="I40" s="14"/>
      <c r="J40" s="13" t="s">
        <v>327</v>
      </c>
      <c r="K40" s="14">
        <v>1</v>
      </c>
      <c r="L40" s="14">
        <v>3</v>
      </c>
      <c r="M40" s="14">
        <v>6</v>
      </c>
      <c r="N40" s="18" t="s">
        <v>92</v>
      </c>
      <c r="O40" s="13" t="s">
        <v>141</v>
      </c>
      <c r="P40" s="13" t="s">
        <v>328</v>
      </c>
      <c r="Q40" s="13" t="s">
        <v>329</v>
      </c>
      <c r="R40" s="13" t="b">
        <f>FALSE()</f>
        <v>0</v>
      </c>
      <c r="S40" s="13" t="b">
        <f>TRUE()</f>
        <v>1</v>
      </c>
      <c r="T40" s="18" t="s">
        <v>84</v>
      </c>
      <c r="U40" s="13"/>
      <c r="V40" s="13" t="s">
        <v>330</v>
      </c>
      <c r="W40" s="20" t="s">
        <v>103</v>
      </c>
    </row>
    <row r="41" spans="1:23" ht="30">
      <c r="A41" s="13" t="s">
        <v>331</v>
      </c>
      <c r="B41" s="13" t="s">
        <v>332</v>
      </c>
      <c r="C41" s="13" t="s">
        <v>333</v>
      </c>
      <c r="D41" s="13" t="s">
        <v>121</v>
      </c>
      <c r="E41" s="13" t="s">
        <v>334</v>
      </c>
      <c r="F41" s="13" t="s">
        <v>59</v>
      </c>
      <c r="G41" s="14"/>
      <c r="H41" s="14">
        <v>0.5</v>
      </c>
      <c r="I41" s="14">
        <v>2</v>
      </c>
      <c r="J41" s="13" t="s">
        <v>335</v>
      </c>
      <c r="K41" s="14"/>
      <c r="L41" s="14">
        <v>0.38</v>
      </c>
      <c r="M41" s="14">
        <v>1.5</v>
      </c>
      <c r="N41" s="24" t="s">
        <v>140</v>
      </c>
      <c r="O41" s="13" t="s">
        <v>141</v>
      </c>
      <c r="P41" s="13" t="s">
        <v>63</v>
      </c>
      <c r="Q41" s="13" t="s">
        <v>336</v>
      </c>
      <c r="R41" s="13" t="b">
        <f>TRUE()</f>
        <v>1</v>
      </c>
      <c r="S41" s="13" t="b">
        <f>TRUE()</f>
        <v>1</v>
      </c>
      <c r="T41" s="18" t="s">
        <v>84</v>
      </c>
      <c r="U41" s="13"/>
      <c r="V41" s="13" t="s">
        <v>330</v>
      </c>
      <c r="W41" s="20" t="s">
        <v>103</v>
      </c>
    </row>
    <row r="42" spans="1:23" ht="30">
      <c r="A42" s="13" t="s">
        <v>337</v>
      </c>
      <c r="B42" s="13" t="s">
        <v>338</v>
      </c>
      <c r="C42" s="13" t="s">
        <v>339</v>
      </c>
      <c r="D42" s="13" t="s">
        <v>121</v>
      </c>
      <c r="E42" s="13" t="s">
        <v>340</v>
      </c>
      <c r="F42" s="13" t="s">
        <v>59</v>
      </c>
      <c r="G42" s="14">
        <v>0</v>
      </c>
      <c r="H42" s="14">
        <v>0.1</v>
      </c>
      <c r="I42" s="14">
        <v>0.3</v>
      </c>
      <c r="J42" s="13" t="s">
        <v>91</v>
      </c>
      <c r="K42" s="14">
        <v>0</v>
      </c>
      <c r="L42" s="14">
        <v>0.03</v>
      </c>
      <c r="M42" s="14">
        <v>0.09</v>
      </c>
      <c r="N42" s="18" t="s">
        <v>92</v>
      </c>
      <c r="O42" s="13" t="s">
        <v>62</v>
      </c>
      <c r="P42" s="13" t="s">
        <v>187</v>
      </c>
      <c r="Q42" s="13" t="s">
        <v>341</v>
      </c>
      <c r="R42" s="13" t="b">
        <f>FALSE()</f>
        <v>0</v>
      </c>
      <c r="S42" s="13" t="b">
        <f>FALSE()</f>
        <v>0</v>
      </c>
      <c r="T42" s="16" t="s">
        <v>65</v>
      </c>
      <c r="U42" s="13"/>
      <c r="V42" s="13" t="s">
        <v>342</v>
      </c>
      <c r="W42" s="20" t="s">
        <v>103</v>
      </c>
    </row>
    <row r="43" spans="1:23" ht="30">
      <c r="A43" s="13" t="s">
        <v>343</v>
      </c>
      <c r="B43" s="13" t="s">
        <v>344</v>
      </c>
      <c r="C43" s="13" t="s">
        <v>345</v>
      </c>
      <c r="D43" s="13" t="s">
        <v>121</v>
      </c>
      <c r="E43" s="13" t="s">
        <v>346</v>
      </c>
      <c r="F43" s="13" t="s">
        <v>59</v>
      </c>
      <c r="G43" s="14"/>
      <c r="H43" s="14"/>
      <c r="I43" s="14"/>
      <c r="J43" s="13" t="s">
        <v>60</v>
      </c>
      <c r="K43" s="14"/>
      <c r="L43" s="14"/>
      <c r="M43" s="14"/>
      <c r="N43" s="24" t="s">
        <v>140</v>
      </c>
      <c r="O43" s="13" t="s">
        <v>141</v>
      </c>
      <c r="P43" s="13" t="s">
        <v>187</v>
      </c>
      <c r="Q43" s="13" t="s">
        <v>347</v>
      </c>
      <c r="R43" s="13" t="b">
        <f>FALSE()</f>
        <v>0</v>
      </c>
      <c r="S43" s="13" t="b">
        <f>TRUE()</f>
        <v>1</v>
      </c>
      <c r="T43" s="23" t="s">
        <v>126</v>
      </c>
      <c r="U43" s="13"/>
      <c r="V43" s="13" t="s">
        <v>348</v>
      </c>
      <c r="W43" s="19" t="s">
        <v>96</v>
      </c>
    </row>
    <row r="44" spans="1:23" ht="30">
      <c r="A44" s="13" t="s">
        <v>349</v>
      </c>
      <c r="B44" s="13" t="s">
        <v>350</v>
      </c>
      <c r="C44" s="13" t="s">
        <v>351</v>
      </c>
      <c r="D44" s="13" t="s">
        <v>352</v>
      </c>
      <c r="E44" s="13" t="s">
        <v>166</v>
      </c>
      <c r="F44" s="13" t="s">
        <v>59</v>
      </c>
      <c r="G44" s="14">
        <v>0</v>
      </c>
      <c r="H44" s="14">
        <v>19.77</v>
      </c>
      <c r="I44" s="14">
        <v>51</v>
      </c>
      <c r="J44" s="13" t="s">
        <v>91</v>
      </c>
      <c r="K44" s="14">
        <v>0</v>
      </c>
      <c r="L44" s="14">
        <v>5.93</v>
      </c>
      <c r="M44" s="14">
        <v>15.3</v>
      </c>
      <c r="N44" s="15" t="s">
        <v>61</v>
      </c>
      <c r="O44" s="13" t="s">
        <v>62</v>
      </c>
      <c r="P44" s="13" t="s">
        <v>353</v>
      </c>
      <c r="Q44" s="13" t="s">
        <v>354</v>
      </c>
      <c r="R44" s="13" t="b">
        <f>TRUE()</f>
        <v>1</v>
      </c>
      <c r="S44" s="13" t="b">
        <f>TRUE()</f>
        <v>1</v>
      </c>
      <c r="T44" s="23" t="s">
        <v>126</v>
      </c>
      <c r="U44" s="13" t="s">
        <v>355</v>
      </c>
      <c r="V44" s="13" t="s">
        <v>161</v>
      </c>
      <c r="W44" s="21" t="s">
        <v>110</v>
      </c>
    </row>
    <row r="45" spans="1:23" ht="30">
      <c r="A45" s="13" t="s">
        <v>356</v>
      </c>
      <c r="B45" s="13" t="s">
        <v>357</v>
      </c>
      <c r="C45" s="13" t="s">
        <v>358</v>
      </c>
      <c r="D45" s="13" t="s">
        <v>359</v>
      </c>
      <c r="E45" s="13" t="s">
        <v>166</v>
      </c>
      <c r="F45" s="13" t="s">
        <v>59</v>
      </c>
      <c r="G45" s="14">
        <v>0.24</v>
      </c>
      <c r="H45" s="14">
        <v>20</v>
      </c>
      <c r="I45" s="14">
        <v>67.599999999999994</v>
      </c>
      <c r="J45" s="13" t="s">
        <v>91</v>
      </c>
      <c r="K45" s="14">
        <v>7.0000000000000007E-2</v>
      </c>
      <c r="L45" s="14">
        <v>6</v>
      </c>
      <c r="M45" s="14">
        <v>20.28</v>
      </c>
      <c r="N45" s="15" t="s">
        <v>61</v>
      </c>
      <c r="O45" s="13" t="s">
        <v>62</v>
      </c>
      <c r="P45" s="13" t="s">
        <v>360</v>
      </c>
      <c r="Q45" s="13" t="s">
        <v>361</v>
      </c>
      <c r="R45" s="13" t="b">
        <f>TRUE()</f>
        <v>1</v>
      </c>
      <c r="S45" s="13" t="b">
        <f>TRUE()</f>
        <v>1</v>
      </c>
      <c r="T45" s="23" t="s">
        <v>126</v>
      </c>
      <c r="U45" s="13"/>
      <c r="V45" s="13" t="s">
        <v>161</v>
      </c>
      <c r="W45" s="19" t="s">
        <v>96</v>
      </c>
    </row>
    <row r="46" spans="1:23" ht="30">
      <c r="A46" s="13" t="s">
        <v>362</v>
      </c>
      <c r="B46" s="13" t="s">
        <v>363</v>
      </c>
      <c r="C46" s="13" t="s">
        <v>364</v>
      </c>
      <c r="D46" s="13" t="s">
        <v>365</v>
      </c>
      <c r="E46" s="13" t="s">
        <v>366</v>
      </c>
      <c r="F46" s="13" t="s">
        <v>59</v>
      </c>
      <c r="G46" s="14"/>
      <c r="H46" s="14">
        <v>6</v>
      </c>
      <c r="I46" s="14">
        <v>18</v>
      </c>
      <c r="J46" s="13" t="s">
        <v>91</v>
      </c>
      <c r="K46" s="14"/>
      <c r="L46" s="14">
        <v>1.8</v>
      </c>
      <c r="M46" s="14">
        <v>5.4</v>
      </c>
      <c r="N46" s="24" t="s">
        <v>140</v>
      </c>
      <c r="O46" s="13" t="s">
        <v>141</v>
      </c>
      <c r="P46" s="13" t="s">
        <v>214</v>
      </c>
      <c r="Q46" s="13" t="s">
        <v>367</v>
      </c>
      <c r="R46" s="13" t="b">
        <f>TRUE()</f>
        <v>1</v>
      </c>
      <c r="S46" s="13" t="b">
        <f>TRUE()</f>
        <v>1</v>
      </c>
      <c r="T46" s="23" t="s">
        <v>126</v>
      </c>
      <c r="U46" s="13"/>
      <c r="V46" s="13" t="s">
        <v>161</v>
      </c>
      <c r="W46" s="19" t="s">
        <v>96</v>
      </c>
    </row>
    <row r="47" spans="1:23" ht="30">
      <c r="A47" s="13" t="s">
        <v>368</v>
      </c>
      <c r="B47" s="13" t="s">
        <v>369</v>
      </c>
      <c r="C47" s="13" t="s">
        <v>370</v>
      </c>
      <c r="D47" s="13" t="s">
        <v>114</v>
      </c>
      <c r="E47" s="13" t="s">
        <v>174</v>
      </c>
      <c r="F47" s="13" t="s">
        <v>59</v>
      </c>
      <c r="G47" s="14">
        <v>0</v>
      </c>
      <c r="H47" s="14">
        <v>2</v>
      </c>
      <c r="I47" s="14">
        <v>6</v>
      </c>
      <c r="J47" s="13" t="s">
        <v>91</v>
      </c>
      <c r="K47" s="14">
        <v>0</v>
      </c>
      <c r="L47" s="14">
        <v>0.6</v>
      </c>
      <c r="M47" s="14">
        <v>1.8</v>
      </c>
      <c r="N47" s="24" t="s">
        <v>140</v>
      </c>
      <c r="O47" s="13" t="s">
        <v>141</v>
      </c>
      <c r="P47" s="13" t="s">
        <v>175</v>
      </c>
      <c r="Q47" s="13" t="s">
        <v>371</v>
      </c>
      <c r="R47" s="13" t="b">
        <f>TRUE()</f>
        <v>1</v>
      </c>
      <c r="S47" s="13" t="b">
        <f>TRUE()</f>
        <v>1</v>
      </c>
      <c r="T47" s="18" t="s">
        <v>84</v>
      </c>
      <c r="U47" s="13"/>
      <c r="V47" s="13" t="s">
        <v>161</v>
      </c>
      <c r="W47" s="19" t="s">
        <v>96</v>
      </c>
    </row>
    <row r="48" spans="1:23" ht="30">
      <c r="A48" s="13" t="s">
        <v>372</v>
      </c>
      <c r="B48" s="13" t="s">
        <v>373</v>
      </c>
      <c r="C48" s="13" t="s">
        <v>374</v>
      </c>
      <c r="D48" s="13" t="s">
        <v>114</v>
      </c>
      <c r="E48" s="13" t="s">
        <v>174</v>
      </c>
      <c r="F48" s="13" t="s">
        <v>59</v>
      </c>
      <c r="G48" s="14">
        <v>0</v>
      </c>
      <c r="H48" s="14">
        <v>1</v>
      </c>
      <c r="I48" s="14">
        <v>4</v>
      </c>
      <c r="J48" s="13" t="s">
        <v>132</v>
      </c>
      <c r="K48" s="14">
        <v>0</v>
      </c>
      <c r="L48" s="14">
        <v>0.4</v>
      </c>
      <c r="M48" s="14">
        <v>1.6</v>
      </c>
      <c r="N48" s="24" t="s">
        <v>140</v>
      </c>
      <c r="O48" s="13" t="s">
        <v>141</v>
      </c>
      <c r="P48" s="13" t="s">
        <v>175</v>
      </c>
      <c r="Q48" s="13" t="s">
        <v>375</v>
      </c>
      <c r="R48" s="13" t="b">
        <f>TRUE()</f>
        <v>1</v>
      </c>
      <c r="S48" s="13" t="b">
        <f>TRUE()</f>
        <v>1</v>
      </c>
      <c r="T48" s="18" t="s">
        <v>84</v>
      </c>
      <c r="U48" s="13"/>
      <c r="V48" s="13" t="s">
        <v>161</v>
      </c>
      <c r="W48" s="19" t="s">
        <v>96</v>
      </c>
    </row>
    <row r="49" spans="1:23" ht="30">
      <c r="A49" s="13" t="s">
        <v>376</v>
      </c>
      <c r="B49" s="13" t="s">
        <v>377</v>
      </c>
      <c r="C49" s="13" t="s">
        <v>378</v>
      </c>
      <c r="D49" s="13" t="s">
        <v>379</v>
      </c>
      <c r="E49" s="13" t="s">
        <v>380</v>
      </c>
      <c r="F49" s="13" t="s">
        <v>59</v>
      </c>
      <c r="G49" s="14"/>
      <c r="H49" s="14">
        <v>10</v>
      </c>
      <c r="I49" s="14">
        <v>30</v>
      </c>
      <c r="J49" s="13" t="s">
        <v>381</v>
      </c>
      <c r="K49" s="14"/>
      <c r="L49" s="14">
        <v>1.5</v>
      </c>
      <c r="M49" s="14">
        <v>4.5</v>
      </c>
      <c r="N49" s="24" t="s">
        <v>140</v>
      </c>
      <c r="O49" s="13" t="s">
        <v>141</v>
      </c>
      <c r="P49" s="13" t="s">
        <v>382</v>
      </c>
      <c r="Q49" s="13" t="s">
        <v>383</v>
      </c>
      <c r="R49" s="13" t="b">
        <f>TRUE()</f>
        <v>1</v>
      </c>
      <c r="S49" s="13" t="b">
        <f>TRUE()</f>
        <v>1</v>
      </c>
      <c r="T49" s="23" t="s">
        <v>126</v>
      </c>
      <c r="U49" s="13" t="s">
        <v>384</v>
      </c>
      <c r="V49" s="13" t="s">
        <v>198</v>
      </c>
      <c r="W49" s="19" t="s">
        <v>96</v>
      </c>
    </row>
    <row r="50" spans="1:23">
      <c r="A50" s="13" t="s">
        <v>385</v>
      </c>
      <c r="B50" s="13" t="s">
        <v>386</v>
      </c>
      <c r="C50" s="13" t="s">
        <v>387</v>
      </c>
      <c r="D50" s="13" t="s">
        <v>165</v>
      </c>
      <c r="E50" s="13" t="s">
        <v>194</v>
      </c>
      <c r="F50" s="13" t="s">
        <v>59</v>
      </c>
      <c r="G50" s="14"/>
      <c r="H50" s="14">
        <v>6</v>
      </c>
      <c r="I50" s="14">
        <v>18</v>
      </c>
      <c r="J50" s="13" t="s">
        <v>195</v>
      </c>
      <c r="K50" s="14"/>
      <c r="L50" s="14">
        <v>3</v>
      </c>
      <c r="M50" s="14">
        <v>9</v>
      </c>
      <c r="N50" s="24" t="s">
        <v>140</v>
      </c>
      <c r="O50" s="13" t="s">
        <v>141</v>
      </c>
      <c r="P50" s="13" t="s">
        <v>382</v>
      </c>
      <c r="Q50" s="13" t="s">
        <v>388</v>
      </c>
      <c r="R50" s="13" t="b">
        <f>TRUE()</f>
        <v>1</v>
      </c>
      <c r="S50" s="13" t="b">
        <f>TRUE()</f>
        <v>1</v>
      </c>
      <c r="T50" s="23" t="s">
        <v>126</v>
      </c>
      <c r="U50" s="13"/>
      <c r="V50" s="13" t="s">
        <v>198</v>
      </c>
      <c r="W50" s="19" t="s">
        <v>96</v>
      </c>
    </row>
    <row r="51" spans="1:23">
      <c r="A51" s="13" t="s">
        <v>389</v>
      </c>
      <c r="B51" s="13" t="s">
        <v>390</v>
      </c>
      <c r="C51" s="13" t="s">
        <v>391</v>
      </c>
      <c r="D51" s="13" t="s">
        <v>392</v>
      </c>
      <c r="E51" s="13" t="s">
        <v>393</v>
      </c>
      <c r="F51" s="13" t="s">
        <v>59</v>
      </c>
      <c r="G51" s="14"/>
      <c r="H51" s="14">
        <v>4</v>
      </c>
      <c r="I51" s="14">
        <v>12</v>
      </c>
      <c r="J51" s="13" t="s">
        <v>195</v>
      </c>
      <c r="K51" s="14"/>
      <c r="L51" s="14">
        <v>2</v>
      </c>
      <c r="M51" s="14">
        <v>6</v>
      </c>
      <c r="N51" s="24" t="s">
        <v>140</v>
      </c>
      <c r="O51" s="13" t="s">
        <v>141</v>
      </c>
      <c r="P51" s="13" t="s">
        <v>382</v>
      </c>
      <c r="Q51" s="13" t="s">
        <v>394</v>
      </c>
      <c r="R51" s="13" t="b">
        <f>TRUE()</f>
        <v>1</v>
      </c>
      <c r="S51" s="13" t="b">
        <f>TRUE()</f>
        <v>1</v>
      </c>
      <c r="T51" s="23" t="s">
        <v>126</v>
      </c>
      <c r="U51" s="13"/>
      <c r="V51" s="13" t="s">
        <v>198</v>
      </c>
      <c r="W51" s="19" t="s">
        <v>96</v>
      </c>
    </row>
    <row r="52" spans="1:23">
      <c r="A52" s="13" t="s">
        <v>395</v>
      </c>
      <c r="B52" s="13" t="s">
        <v>396</v>
      </c>
      <c r="C52" s="13" t="s">
        <v>397</v>
      </c>
      <c r="D52" s="13" t="s">
        <v>398</v>
      </c>
      <c r="E52" s="13" t="s">
        <v>194</v>
      </c>
      <c r="F52" s="13" t="s">
        <v>59</v>
      </c>
      <c r="G52" s="14"/>
      <c r="H52" s="14">
        <v>5</v>
      </c>
      <c r="I52" s="14">
        <v>15</v>
      </c>
      <c r="J52" s="13" t="s">
        <v>195</v>
      </c>
      <c r="K52" s="14"/>
      <c r="L52" s="14">
        <v>2.5</v>
      </c>
      <c r="M52" s="14">
        <v>7.5</v>
      </c>
      <c r="N52" s="24" t="s">
        <v>140</v>
      </c>
      <c r="O52" s="13" t="s">
        <v>141</v>
      </c>
      <c r="P52" s="13" t="s">
        <v>382</v>
      </c>
      <c r="Q52" s="13" t="s">
        <v>399</v>
      </c>
      <c r="R52" s="13" t="b">
        <f>TRUE()</f>
        <v>1</v>
      </c>
      <c r="S52" s="13" t="b">
        <f>TRUE()</f>
        <v>1</v>
      </c>
      <c r="T52" s="23" t="s">
        <v>126</v>
      </c>
      <c r="U52" s="13"/>
      <c r="V52" s="13" t="s">
        <v>198</v>
      </c>
      <c r="W52" s="19" t="s">
        <v>96</v>
      </c>
    </row>
    <row r="53" spans="1:23">
      <c r="A53" s="13" t="s">
        <v>400</v>
      </c>
      <c r="B53" s="13" t="s">
        <v>401</v>
      </c>
      <c r="C53" s="13" t="s">
        <v>402</v>
      </c>
      <c r="D53" s="13" t="s">
        <v>403</v>
      </c>
      <c r="E53" s="13" t="s">
        <v>404</v>
      </c>
      <c r="F53" s="13" t="s">
        <v>59</v>
      </c>
      <c r="G53" s="14">
        <v>0</v>
      </c>
      <c r="H53" s="14">
        <v>5</v>
      </c>
      <c r="I53" s="14">
        <v>15</v>
      </c>
      <c r="J53" s="13" t="s">
        <v>60</v>
      </c>
      <c r="K53" s="14">
        <v>0</v>
      </c>
      <c r="L53" s="14">
        <v>5</v>
      </c>
      <c r="M53" s="14">
        <v>15</v>
      </c>
      <c r="N53" s="18" t="s">
        <v>92</v>
      </c>
      <c r="O53" s="13" t="s">
        <v>141</v>
      </c>
      <c r="P53" s="13" t="s">
        <v>405</v>
      </c>
      <c r="Q53" s="13" t="s">
        <v>406</v>
      </c>
      <c r="R53" s="13" t="b">
        <f>TRUE()</f>
        <v>1</v>
      </c>
      <c r="S53" s="13" t="b">
        <f>TRUE()</f>
        <v>1</v>
      </c>
      <c r="T53" s="23" t="s">
        <v>126</v>
      </c>
      <c r="U53" s="13"/>
      <c r="V53" s="13" t="s">
        <v>230</v>
      </c>
      <c r="W53" s="21" t="s">
        <v>110</v>
      </c>
    </row>
    <row r="54" spans="1:23">
      <c r="A54" s="13" t="s">
        <v>407</v>
      </c>
      <c r="B54" s="13" t="s">
        <v>408</v>
      </c>
      <c r="C54" s="13" t="s">
        <v>409</v>
      </c>
      <c r="D54" s="13" t="s">
        <v>410</v>
      </c>
      <c r="E54" s="13" t="s">
        <v>251</v>
      </c>
      <c r="F54" s="13" t="s">
        <v>59</v>
      </c>
      <c r="G54" s="14">
        <v>0.215</v>
      </c>
      <c r="H54" s="14">
        <v>2.5</v>
      </c>
      <c r="I54" s="14">
        <v>5.234</v>
      </c>
      <c r="J54" s="13" t="s">
        <v>116</v>
      </c>
      <c r="K54" s="14">
        <v>0.04</v>
      </c>
      <c r="L54" s="14">
        <v>0.5</v>
      </c>
      <c r="M54" s="14">
        <v>1.05</v>
      </c>
      <c r="N54" s="15" t="s">
        <v>61</v>
      </c>
      <c r="O54" s="13" t="s">
        <v>62</v>
      </c>
      <c r="P54" s="13" t="s">
        <v>411</v>
      </c>
      <c r="Q54" s="13" t="s">
        <v>412</v>
      </c>
      <c r="R54" s="13" t="b">
        <f>TRUE()</f>
        <v>1</v>
      </c>
      <c r="S54" s="13" t="b">
        <f>TRUE()</f>
        <v>1</v>
      </c>
      <c r="T54" s="18" t="s">
        <v>84</v>
      </c>
      <c r="U54" s="13"/>
      <c r="V54" s="13" t="s">
        <v>246</v>
      </c>
      <c r="W54" s="20" t="s">
        <v>103</v>
      </c>
    </row>
    <row r="55" spans="1:23">
      <c r="A55" s="13" t="s">
        <v>413</v>
      </c>
      <c r="B55" s="13" t="s">
        <v>414</v>
      </c>
      <c r="C55" s="13" t="s">
        <v>415</v>
      </c>
      <c r="D55" s="13" t="s">
        <v>410</v>
      </c>
      <c r="E55" s="13" t="s">
        <v>416</v>
      </c>
      <c r="F55" s="13" t="s">
        <v>59</v>
      </c>
      <c r="G55" s="14"/>
      <c r="H55" s="14">
        <v>8</v>
      </c>
      <c r="I55" s="14">
        <v>25</v>
      </c>
      <c r="J55" s="13" t="s">
        <v>116</v>
      </c>
      <c r="K55" s="14"/>
      <c r="L55" s="14">
        <v>1.6</v>
      </c>
      <c r="M55" s="14">
        <v>5</v>
      </c>
      <c r="N55" s="24" t="s">
        <v>140</v>
      </c>
      <c r="O55" s="13" t="s">
        <v>141</v>
      </c>
      <c r="P55" s="13" t="s">
        <v>417</v>
      </c>
      <c r="Q55" s="13" t="s">
        <v>418</v>
      </c>
      <c r="R55" s="13" t="b">
        <f>TRUE()</f>
        <v>1</v>
      </c>
      <c r="S55" s="13" t="b">
        <f>TRUE()</f>
        <v>1</v>
      </c>
      <c r="T55" s="23" t="s">
        <v>126</v>
      </c>
      <c r="U55" s="13"/>
      <c r="V55" s="13" t="s">
        <v>246</v>
      </c>
      <c r="W55" s="19" t="s">
        <v>96</v>
      </c>
    </row>
    <row r="56" spans="1:23">
      <c r="A56" s="13" t="s">
        <v>419</v>
      </c>
      <c r="B56" s="13" t="s">
        <v>420</v>
      </c>
      <c r="C56" s="25" t="s">
        <v>421</v>
      </c>
      <c r="D56" s="13" t="s">
        <v>410</v>
      </c>
      <c r="E56" s="13" t="s">
        <v>257</v>
      </c>
      <c r="F56" s="13" t="s">
        <v>59</v>
      </c>
      <c r="G56" s="14">
        <v>10</v>
      </c>
      <c r="H56" s="14">
        <v>45.74</v>
      </c>
      <c r="I56" s="14">
        <v>140</v>
      </c>
      <c r="J56" s="13" t="s">
        <v>116</v>
      </c>
      <c r="K56" s="14">
        <v>2</v>
      </c>
      <c r="L56" s="14">
        <v>9.15</v>
      </c>
      <c r="M56" s="14">
        <v>28</v>
      </c>
      <c r="N56" s="15" t="s">
        <v>61</v>
      </c>
      <c r="O56" s="13" t="s">
        <v>62</v>
      </c>
      <c r="P56" s="13" t="s">
        <v>422</v>
      </c>
      <c r="Q56" s="13" t="s">
        <v>423</v>
      </c>
      <c r="R56" s="13" t="b">
        <f>TRUE()</f>
        <v>1</v>
      </c>
      <c r="S56" s="13" t="b">
        <f>TRUE()</f>
        <v>1</v>
      </c>
      <c r="T56" s="23" t="s">
        <v>126</v>
      </c>
      <c r="U56" s="13"/>
      <c r="V56" s="13" t="s">
        <v>246</v>
      </c>
      <c r="W56" s="19" t="s">
        <v>96</v>
      </c>
    </row>
    <row r="57" spans="1:23" ht="30">
      <c r="A57" s="13" t="s">
        <v>424</v>
      </c>
      <c r="B57" s="13" t="s">
        <v>425</v>
      </c>
      <c r="C57" s="13" t="s">
        <v>426</v>
      </c>
      <c r="D57" s="13" t="s">
        <v>250</v>
      </c>
      <c r="E57" s="13" t="s">
        <v>427</v>
      </c>
      <c r="F57" s="13" t="s">
        <v>80</v>
      </c>
      <c r="G57" s="14">
        <v>2.9</v>
      </c>
      <c r="H57" s="14">
        <v>15</v>
      </c>
      <c r="I57" s="14">
        <v>77.5</v>
      </c>
      <c r="J57" s="13" t="s">
        <v>242</v>
      </c>
      <c r="K57" s="14">
        <v>0.44</v>
      </c>
      <c r="L57" s="14">
        <v>2.25</v>
      </c>
      <c r="M57" s="14">
        <v>11.63</v>
      </c>
      <c r="N57" s="15" t="s">
        <v>61</v>
      </c>
      <c r="O57" s="13" t="s">
        <v>141</v>
      </c>
      <c r="P57" s="13" t="s">
        <v>243</v>
      </c>
      <c r="Q57" s="13" t="s">
        <v>428</v>
      </c>
      <c r="R57" s="13" t="b">
        <f>TRUE()</f>
        <v>1</v>
      </c>
      <c r="S57" s="13" t="b">
        <f>TRUE()</f>
        <v>1</v>
      </c>
      <c r="T57" s="23" t="s">
        <v>126</v>
      </c>
      <c r="U57" s="13"/>
      <c r="V57" s="13" t="s">
        <v>246</v>
      </c>
      <c r="W57" s="20" t="s">
        <v>103</v>
      </c>
    </row>
    <row r="58" spans="1:23">
      <c r="A58" s="13" t="s">
        <v>429</v>
      </c>
      <c r="B58" s="13" t="s">
        <v>430</v>
      </c>
      <c r="C58" s="13" t="s">
        <v>431</v>
      </c>
      <c r="D58" s="13" t="s">
        <v>432</v>
      </c>
      <c r="E58" s="13" t="s">
        <v>433</v>
      </c>
      <c r="F58" s="13" t="s">
        <v>59</v>
      </c>
      <c r="G58" s="14"/>
      <c r="H58" s="14">
        <v>6</v>
      </c>
      <c r="I58" s="14">
        <v>20</v>
      </c>
      <c r="J58" s="13" t="s">
        <v>116</v>
      </c>
      <c r="K58" s="14"/>
      <c r="L58" s="14">
        <v>1.2</v>
      </c>
      <c r="M58" s="14">
        <v>4</v>
      </c>
      <c r="N58" s="24" t="s">
        <v>140</v>
      </c>
      <c r="O58" s="13" t="s">
        <v>141</v>
      </c>
      <c r="P58" s="13" t="s">
        <v>382</v>
      </c>
      <c r="Q58" s="13" t="s">
        <v>434</v>
      </c>
      <c r="R58" s="13" t="b">
        <f>TRUE()</f>
        <v>1</v>
      </c>
      <c r="S58" s="13" t="b">
        <f>TRUE()</f>
        <v>1</v>
      </c>
      <c r="T58" s="23" t="s">
        <v>126</v>
      </c>
      <c r="U58" s="13"/>
      <c r="V58" s="13" t="s">
        <v>246</v>
      </c>
      <c r="W58" s="19" t="s">
        <v>96</v>
      </c>
    </row>
    <row r="59" spans="1:23">
      <c r="A59" s="13" t="s">
        <v>435</v>
      </c>
      <c r="B59" s="13" t="s">
        <v>436</v>
      </c>
      <c r="C59" s="13" t="s">
        <v>437</v>
      </c>
      <c r="D59" s="13" t="s">
        <v>262</v>
      </c>
      <c r="E59" s="13" t="s">
        <v>241</v>
      </c>
      <c r="F59" s="13" t="s">
        <v>59</v>
      </c>
      <c r="G59" s="14"/>
      <c r="H59" s="14">
        <v>8</v>
      </c>
      <c r="I59" s="14">
        <v>25</v>
      </c>
      <c r="J59" s="13" t="s">
        <v>381</v>
      </c>
      <c r="K59" s="14"/>
      <c r="L59" s="14">
        <v>1.2</v>
      </c>
      <c r="M59" s="14">
        <v>3.75</v>
      </c>
      <c r="N59" s="24" t="s">
        <v>140</v>
      </c>
      <c r="O59" s="13" t="s">
        <v>141</v>
      </c>
      <c r="P59" s="13" t="s">
        <v>264</v>
      </c>
      <c r="Q59" s="13" t="s">
        <v>438</v>
      </c>
      <c r="R59" s="13" t="b">
        <f>TRUE()</f>
        <v>1</v>
      </c>
      <c r="S59" s="13" t="b">
        <f>TRUE()</f>
        <v>1</v>
      </c>
      <c r="T59" s="23" t="s">
        <v>126</v>
      </c>
      <c r="U59" s="13"/>
      <c r="V59" s="13" t="s">
        <v>439</v>
      </c>
      <c r="W59" s="20" t="s">
        <v>103</v>
      </c>
    </row>
    <row r="60" spans="1:23">
      <c r="A60" s="13" t="s">
        <v>440</v>
      </c>
      <c r="B60" s="13" t="s">
        <v>441</v>
      </c>
      <c r="C60" s="13" t="s">
        <v>442</v>
      </c>
      <c r="D60" s="13" t="s">
        <v>262</v>
      </c>
      <c r="E60" s="13" t="s">
        <v>219</v>
      </c>
      <c r="F60" s="13" t="s">
        <v>59</v>
      </c>
      <c r="G60" s="14"/>
      <c r="H60" s="14">
        <v>15</v>
      </c>
      <c r="I60" s="14">
        <v>40</v>
      </c>
      <c r="J60" s="13" t="s">
        <v>443</v>
      </c>
      <c r="K60" s="14"/>
      <c r="L60" s="14">
        <v>1.5</v>
      </c>
      <c r="M60" s="14">
        <v>4</v>
      </c>
      <c r="N60" s="24" t="s">
        <v>140</v>
      </c>
      <c r="O60" s="13" t="s">
        <v>141</v>
      </c>
      <c r="P60" s="13" t="s">
        <v>264</v>
      </c>
      <c r="Q60" s="13" t="s">
        <v>444</v>
      </c>
      <c r="R60" s="13" t="b">
        <f>TRUE()</f>
        <v>1</v>
      </c>
      <c r="S60" s="13" t="b">
        <f>TRUE()</f>
        <v>1</v>
      </c>
      <c r="T60" s="23" t="s">
        <v>126</v>
      </c>
      <c r="U60" s="13"/>
      <c r="V60" s="13" t="s">
        <v>221</v>
      </c>
      <c r="W60" s="19" t="s">
        <v>96</v>
      </c>
    </row>
    <row r="61" spans="1:23">
      <c r="A61" s="13" t="s">
        <v>445</v>
      </c>
      <c r="B61" s="13" t="s">
        <v>446</v>
      </c>
      <c r="C61" s="13" t="s">
        <v>447</v>
      </c>
      <c r="D61" s="13" t="s">
        <v>240</v>
      </c>
      <c r="E61" s="13" t="s">
        <v>241</v>
      </c>
      <c r="F61" s="13" t="s">
        <v>80</v>
      </c>
      <c r="G61" s="14"/>
      <c r="H61" s="14">
        <v>3</v>
      </c>
      <c r="I61" s="14">
        <v>10</v>
      </c>
      <c r="J61" s="13" t="s">
        <v>242</v>
      </c>
      <c r="K61" s="14"/>
      <c r="L61" s="14">
        <v>0.45</v>
      </c>
      <c r="M61" s="14">
        <v>1.5</v>
      </c>
      <c r="N61" s="24" t="s">
        <v>140</v>
      </c>
      <c r="O61" s="13" t="s">
        <v>141</v>
      </c>
      <c r="P61" s="13" t="s">
        <v>382</v>
      </c>
      <c r="Q61" s="13" t="s">
        <v>448</v>
      </c>
      <c r="R61" s="13" t="b">
        <f>TRUE()</f>
        <v>1</v>
      </c>
      <c r="S61" s="13" t="b">
        <f>TRUE()</f>
        <v>1</v>
      </c>
      <c r="T61" s="18" t="s">
        <v>84</v>
      </c>
      <c r="U61" s="13"/>
      <c r="V61" s="13" t="s">
        <v>439</v>
      </c>
      <c r="W61" s="20" t="s">
        <v>103</v>
      </c>
    </row>
    <row r="62" spans="1:23" ht="30">
      <c r="A62" s="13" t="s">
        <v>449</v>
      </c>
      <c r="B62" s="13" t="s">
        <v>450</v>
      </c>
      <c r="C62" s="13" t="s">
        <v>451</v>
      </c>
      <c r="D62" s="13" t="s">
        <v>452</v>
      </c>
      <c r="E62" s="13" t="s">
        <v>257</v>
      </c>
      <c r="F62" s="13" t="s">
        <v>59</v>
      </c>
      <c r="G62" s="14"/>
      <c r="H62" s="14">
        <v>2</v>
      </c>
      <c r="I62" s="14">
        <v>8</v>
      </c>
      <c r="J62" s="13" t="s">
        <v>60</v>
      </c>
      <c r="K62" s="14"/>
      <c r="L62" s="14">
        <v>2</v>
      </c>
      <c r="M62" s="14">
        <v>8</v>
      </c>
      <c r="N62" s="24" t="s">
        <v>140</v>
      </c>
      <c r="O62" s="13" t="s">
        <v>141</v>
      </c>
      <c r="P62" s="13" t="s">
        <v>453</v>
      </c>
      <c r="Q62" s="13" t="s">
        <v>454</v>
      </c>
      <c r="R62" s="13" t="b">
        <f>TRUE()</f>
        <v>1</v>
      </c>
      <c r="S62" s="13" t="b">
        <f>TRUE()</f>
        <v>1</v>
      </c>
      <c r="T62" s="18" t="s">
        <v>84</v>
      </c>
      <c r="U62" s="13"/>
      <c r="V62" s="13" t="s">
        <v>246</v>
      </c>
      <c r="W62" s="19" t="s">
        <v>96</v>
      </c>
    </row>
    <row r="63" spans="1:23" ht="30">
      <c r="A63" s="13" t="s">
        <v>455</v>
      </c>
      <c r="B63" s="13" t="s">
        <v>456</v>
      </c>
      <c r="C63" s="13" t="s">
        <v>457</v>
      </c>
      <c r="D63" s="13" t="s">
        <v>458</v>
      </c>
      <c r="E63" s="13" t="s">
        <v>257</v>
      </c>
      <c r="F63" s="13" t="s">
        <v>59</v>
      </c>
      <c r="G63" s="14"/>
      <c r="H63" s="14">
        <v>8</v>
      </c>
      <c r="I63" s="14">
        <v>20</v>
      </c>
      <c r="J63" s="13" t="s">
        <v>91</v>
      </c>
      <c r="K63" s="14"/>
      <c r="L63" s="14">
        <v>2.4</v>
      </c>
      <c r="M63" s="14">
        <v>6</v>
      </c>
      <c r="N63" s="24" t="s">
        <v>140</v>
      </c>
      <c r="O63" s="13" t="s">
        <v>141</v>
      </c>
      <c r="P63" s="13" t="s">
        <v>453</v>
      </c>
      <c r="Q63" s="13" t="s">
        <v>459</v>
      </c>
      <c r="R63" s="13" t="b">
        <f>TRUE()</f>
        <v>1</v>
      </c>
      <c r="S63" s="13" t="b">
        <f>TRUE()</f>
        <v>1</v>
      </c>
      <c r="T63" s="23" t="s">
        <v>126</v>
      </c>
      <c r="U63" s="13"/>
      <c r="V63" s="13" t="s">
        <v>246</v>
      </c>
      <c r="W63" s="19" t="s">
        <v>96</v>
      </c>
    </row>
    <row r="64" spans="1:23">
      <c r="A64" s="13" t="s">
        <v>460</v>
      </c>
      <c r="B64" s="13" t="s">
        <v>461</v>
      </c>
      <c r="C64" s="13" t="s">
        <v>462</v>
      </c>
      <c r="D64" s="13" t="s">
        <v>379</v>
      </c>
      <c r="E64" s="13" t="s">
        <v>463</v>
      </c>
      <c r="F64" s="13" t="s">
        <v>59</v>
      </c>
      <c r="G64" s="14">
        <v>0</v>
      </c>
      <c r="H64" s="14">
        <v>0.2</v>
      </c>
      <c r="I64" s="14">
        <v>1</v>
      </c>
      <c r="J64" s="13" t="s">
        <v>91</v>
      </c>
      <c r="K64" s="14">
        <v>0</v>
      </c>
      <c r="L64" s="14">
        <v>0.06</v>
      </c>
      <c r="M64" s="14">
        <v>0.3</v>
      </c>
      <c r="N64" s="18" t="s">
        <v>92</v>
      </c>
      <c r="O64" s="13" t="s">
        <v>141</v>
      </c>
      <c r="P64" s="13" t="s">
        <v>464</v>
      </c>
      <c r="Q64" s="13" t="s">
        <v>465</v>
      </c>
      <c r="R64" s="13" t="b">
        <f>TRUE()</f>
        <v>1</v>
      </c>
      <c r="S64" s="13" t="b">
        <f>FALSE()</f>
        <v>0</v>
      </c>
      <c r="T64" s="16" t="s">
        <v>65</v>
      </c>
      <c r="U64" s="13"/>
      <c r="V64" s="13" t="s">
        <v>230</v>
      </c>
      <c r="W64" s="20" t="s">
        <v>103</v>
      </c>
    </row>
    <row r="65" spans="1:23">
      <c r="A65" s="13" t="s">
        <v>466</v>
      </c>
      <c r="B65" s="13" t="s">
        <v>467</v>
      </c>
      <c r="C65" s="13" t="s">
        <v>468</v>
      </c>
      <c r="D65" s="13" t="s">
        <v>379</v>
      </c>
      <c r="E65" s="13" t="s">
        <v>469</v>
      </c>
      <c r="F65" s="13" t="s">
        <v>59</v>
      </c>
      <c r="G65" s="14">
        <v>0</v>
      </c>
      <c r="H65" s="14">
        <v>0.2</v>
      </c>
      <c r="I65" s="14">
        <v>1</v>
      </c>
      <c r="J65" s="13" t="s">
        <v>381</v>
      </c>
      <c r="K65" s="14">
        <v>0</v>
      </c>
      <c r="L65" s="14">
        <v>0.03</v>
      </c>
      <c r="M65" s="14">
        <v>0.15</v>
      </c>
      <c r="N65" s="18" t="s">
        <v>92</v>
      </c>
      <c r="O65" s="13" t="s">
        <v>141</v>
      </c>
      <c r="P65" s="13" t="s">
        <v>464</v>
      </c>
      <c r="Q65" s="13" t="s">
        <v>470</v>
      </c>
      <c r="R65" s="13" t="b">
        <f>TRUE()</f>
        <v>1</v>
      </c>
      <c r="S65" s="13" t="b">
        <f>FALSE()</f>
        <v>0</v>
      </c>
      <c r="T65" s="16" t="s">
        <v>65</v>
      </c>
      <c r="U65" s="13"/>
      <c r="V65" s="13" t="s">
        <v>230</v>
      </c>
      <c r="W65" s="20" t="s">
        <v>103</v>
      </c>
    </row>
    <row r="66" spans="1:23">
      <c r="A66" s="13" t="s">
        <v>471</v>
      </c>
      <c r="B66" s="13" t="s">
        <v>472</v>
      </c>
      <c r="C66" s="13" t="s">
        <v>473</v>
      </c>
      <c r="D66" s="13" t="s">
        <v>474</v>
      </c>
      <c r="E66" s="13" t="s">
        <v>475</v>
      </c>
      <c r="F66" s="13" t="s">
        <v>80</v>
      </c>
      <c r="G66" s="14">
        <v>0</v>
      </c>
      <c r="H66" s="14">
        <v>0.35</v>
      </c>
      <c r="I66" s="14">
        <v>0.48499999999999999</v>
      </c>
      <c r="J66" s="13" t="s">
        <v>60</v>
      </c>
      <c r="K66" s="14">
        <v>0</v>
      </c>
      <c r="L66" s="14">
        <v>0.35</v>
      </c>
      <c r="M66" s="14">
        <v>0.49</v>
      </c>
      <c r="N66" s="15" t="s">
        <v>61</v>
      </c>
      <c r="O66" s="13" t="s">
        <v>62</v>
      </c>
      <c r="P66" s="13" t="s">
        <v>476</v>
      </c>
      <c r="Q66" s="13" t="s">
        <v>477</v>
      </c>
      <c r="R66" s="13" t="b">
        <f>TRUE()</f>
        <v>1</v>
      </c>
      <c r="S66" s="13" t="b">
        <f>FALSE()</f>
        <v>0</v>
      </c>
      <c r="T66" s="16" t="s">
        <v>65</v>
      </c>
      <c r="U66" s="13"/>
      <c r="V66" s="13" t="s">
        <v>230</v>
      </c>
      <c r="W66" s="17" t="s">
        <v>67</v>
      </c>
    </row>
    <row r="67" spans="1:23" ht="30">
      <c r="A67" s="13" t="s">
        <v>478</v>
      </c>
      <c r="B67" s="13" t="s">
        <v>479</v>
      </c>
      <c r="C67" s="13" t="s">
        <v>480</v>
      </c>
      <c r="D67" s="13" t="s">
        <v>481</v>
      </c>
      <c r="E67" s="13" t="s">
        <v>469</v>
      </c>
      <c r="F67" s="13" t="s">
        <v>59</v>
      </c>
      <c r="G67" s="14">
        <v>0</v>
      </c>
      <c r="H67" s="14">
        <v>2</v>
      </c>
      <c r="I67" s="14">
        <v>8</v>
      </c>
      <c r="J67" s="13" t="s">
        <v>132</v>
      </c>
      <c r="K67" s="14">
        <v>0</v>
      </c>
      <c r="L67" s="14">
        <v>0.8</v>
      </c>
      <c r="M67" s="14">
        <v>3.2</v>
      </c>
      <c r="N67" s="24" t="s">
        <v>140</v>
      </c>
      <c r="O67" s="13" t="s">
        <v>141</v>
      </c>
      <c r="P67" s="13" t="s">
        <v>63</v>
      </c>
      <c r="Q67" s="13" t="s">
        <v>482</v>
      </c>
      <c r="R67" s="13" t="b">
        <f>TRUE()</f>
        <v>1</v>
      </c>
      <c r="S67" s="13" t="b">
        <f>TRUE()</f>
        <v>1</v>
      </c>
      <c r="T67" s="18" t="s">
        <v>84</v>
      </c>
      <c r="U67" s="13"/>
      <c r="V67" s="13" t="s">
        <v>95</v>
      </c>
      <c r="W67" s="19" t="s">
        <v>96</v>
      </c>
    </row>
    <row r="68" spans="1:23" ht="30">
      <c r="A68" s="13" t="s">
        <v>483</v>
      </c>
      <c r="B68" s="13" t="s">
        <v>484</v>
      </c>
      <c r="C68" s="13" t="s">
        <v>485</v>
      </c>
      <c r="D68" s="13" t="s">
        <v>486</v>
      </c>
      <c r="E68" s="13" t="s">
        <v>487</v>
      </c>
      <c r="F68" s="13" t="s">
        <v>59</v>
      </c>
      <c r="G68" s="14">
        <v>0</v>
      </c>
      <c r="H68" s="14">
        <v>1</v>
      </c>
      <c r="I68" s="14">
        <v>4</v>
      </c>
      <c r="J68" s="13" t="s">
        <v>132</v>
      </c>
      <c r="K68" s="14">
        <v>0</v>
      </c>
      <c r="L68" s="14">
        <v>0.4</v>
      </c>
      <c r="M68" s="14">
        <v>1.6</v>
      </c>
      <c r="N68" s="24" t="s">
        <v>140</v>
      </c>
      <c r="O68" s="13" t="s">
        <v>141</v>
      </c>
      <c r="P68" s="13" t="s">
        <v>63</v>
      </c>
      <c r="Q68" s="13" t="s">
        <v>488</v>
      </c>
      <c r="R68" s="13" t="b">
        <f>TRUE()</f>
        <v>1</v>
      </c>
      <c r="S68" s="13" t="b">
        <f>FALSE()</f>
        <v>0</v>
      </c>
      <c r="T68" s="18" t="s">
        <v>84</v>
      </c>
      <c r="U68" s="13"/>
      <c r="V68" s="13" t="s">
        <v>74</v>
      </c>
      <c r="W68" s="20" t="s">
        <v>103</v>
      </c>
    </row>
    <row r="69" spans="1:23">
      <c r="A69" s="13" t="s">
        <v>489</v>
      </c>
      <c r="B69" s="13" t="s">
        <v>490</v>
      </c>
      <c r="C69" s="13" t="s">
        <v>491</v>
      </c>
      <c r="D69" s="13" t="s">
        <v>486</v>
      </c>
      <c r="E69" s="13" t="s">
        <v>492</v>
      </c>
      <c r="F69" s="13" t="s">
        <v>59</v>
      </c>
      <c r="G69" s="14"/>
      <c r="H69" s="14">
        <v>4</v>
      </c>
      <c r="I69" s="14">
        <v>12</v>
      </c>
      <c r="J69" s="13" t="s">
        <v>493</v>
      </c>
      <c r="K69" s="14"/>
      <c r="L69" s="14">
        <v>3.2</v>
      </c>
      <c r="M69" s="14">
        <v>9.6</v>
      </c>
      <c r="N69" s="24" t="s">
        <v>140</v>
      </c>
      <c r="O69" s="13" t="s">
        <v>141</v>
      </c>
      <c r="P69" s="13" t="s">
        <v>382</v>
      </c>
      <c r="Q69" s="13" t="s">
        <v>494</v>
      </c>
      <c r="R69" s="13" t="b">
        <f>TRUE()</f>
        <v>1</v>
      </c>
      <c r="S69" s="13" t="b">
        <f>TRUE()</f>
        <v>1</v>
      </c>
      <c r="T69" s="23" t="s">
        <v>126</v>
      </c>
      <c r="U69" s="13"/>
      <c r="V69" s="13" t="s">
        <v>230</v>
      </c>
      <c r="W69" s="20" t="s">
        <v>103</v>
      </c>
    </row>
    <row r="70" spans="1:23" ht="30">
      <c r="A70" s="13" t="s">
        <v>495</v>
      </c>
      <c r="B70" s="13" t="s">
        <v>496</v>
      </c>
      <c r="C70" s="13" t="s">
        <v>497</v>
      </c>
      <c r="D70" s="13" t="s">
        <v>121</v>
      </c>
      <c r="E70" s="13" t="s">
        <v>498</v>
      </c>
      <c r="F70" s="13" t="s">
        <v>59</v>
      </c>
      <c r="G70" s="14">
        <v>0</v>
      </c>
      <c r="H70" s="14">
        <v>10</v>
      </c>
      <c r="I70" s="14">
        <v>57.6</v>
      </c>
      <c r="J70" s="13" t="s">
        <v>91</v>
      </c>
      <c r="K70" s="14">
        <v>0</v>
      </c>
      <c r="L70" s="14">
        <v>3</v>
      </c>
      <c r="M70" s="14">
        <v>17.28</v>
      </c>
      <c r="N70" s="18" t="s">
        <v>92</v>
      </c>
      <c r="O70" s="13" t="s">
        <v>62</v>
      </c>
      <c r="P70" s="13" t="s">
        <v>499</v>
      </c>
      <c r="Q70" s="13" t="s">
        <v>500</v>
      </c>
      <c r="R70" s="13" t="b">
        <f>TRUE()</f>
        <v>1</v>
      </c>
      <c r="S70" s="13" t="b">
        <f>TRUE()</f>
        <v>1</v>
      </c>
      <c r="T70" s="23" t="s">
        <v>126</v>
      </c>
      <c r="U70" s="13"/>
      <c r="V70" s="13" t="s">
        <v>161</v>
      </c>
      <c r="W70" s="19" t="s">
        <v>96</v>
      </c>
    </row>
    <row r="71" spans="1:23">
      <c r="A71" s="13" t="s">
        <v>501</v>
      </c>
      <c r="B71" s="13" t="s">
        <v>502</v>
      </c>
      <c r="C71" s="13" t="s">
        <v>503</v>
      </c>
      <c r="D71" s="13" t="s">
        <v>504</v>
      </c>
      <c r="E71" s="13" t="s">
        <v>219</v>
      </c>
      <c r="F71" s="13" t="s">
        <v>80</v>
      </c>
      <c r="G71" s="14"/>
      <c r="H71" s="14">
        <v>0.5</v>
      </c>
      <c r="I71" s="14">
        <v>2</v>
      </c>
      <c r="J71" s="13" t="s">
        <v>279</v>
      </c>
      <c r="K71" s="14"/>
      <c r="L71" s="14">
        <v>1.65</v>
      </c>
      <c r="M71" s="14">
        <v>6.6</v>
      </c>
      <c r="N71" s="24" t="s">
        <v>140</v>
      </c>
      <c r="O71" s="13" t="s">
        <v>141</v>
      </c>
      <c r="P71" s="13" t="s">
        <v>382</v>
      </c>
      <c r="Q71" s="13" t="s">
        <v>505</v>
      </c>
      <c r="R71" s="13" t="b">
        <f>TRUE()</f>
        <v>1</v>
      </c>
      <c r="S71" s="13" t="b">
        <f>TRUE()</f>
        <v>1</v>
      </c>
      <c r="T71" s="18" t="s">
        <v>84</v>
      </c>
      <c r="U71" s="13"/>
      <c r="V71" s="13" t="s">
        <v>309</v>
      </c>
      <c r="W71" s="20" t="s">
        <v>103</v>
      </c>
    </row>
    <row r="72" spans="1:23" ht="30">
      <c r="A72" s="13" t="s">
        <v>506</v>
      </c>
      <c r="B72" s="13" t="s">
        <v>507</v>
      </c>
      <c r="C72" s="13" t="s">
        <v>508</v>
      </c>
      <c r="D72" s="13" t="s">
        <v>121</v>
      </c>
      <c r="E72" s="13" t="s">
        <v>509</v>
      </c>
      <c r="F72" s="13" t="s">
        <v>80</v>
      </c>
      <c r="G72" s="14">
        <v>0</v>
      </c>
      <c r="H72" s="14">
        <v>0.05</v>
      </c>
      <c r="I72" s="14">
        <v>0.2</v>
      </c>
      <c r="J72" s="13" t="s">
        <v>510</v>
      </c>
      <c r="K72" s="14">
        <v>0</v>
      </c>
      <c r="L72" s="14">
        <v>0.02</v>
      </c>
      <c r="M72" s="14">
        <v>0.08</v>
      </c>
      <c r="N72" s="24" t="s">
        <v>140</v>
      </c>
      <c r="O72" s="13" t="s">
        <v>141</v>
      </c>
      <c r="P72" s="13" t="s">
        <v>511</v>
      </c>
      <c r="Q72" s="13" t="s">
        <v>512</v>
      </c>
      <c r="R72" s="13" t="b">
        <f>FALSE()</f>
        <v>0</v>
      </c>
      <c r="S72" s="13" t="b">
        <f>FALSE()</f>
        <v>0</v>
      </c>
      <c r="T72" s="16" t="s">
        <v>65</v>
      </c>
      <c r="U72" s="13"/>
      <c r="V72" s="13" t="s">
        <v>282</v>
      </c>
      <c r="W72" s="20" t="s">
        <v>103</v>
      </c>
    </row>
    <row r="73" spans="1:23" ht="30">
      <c r="A73" s="13" t="s">
        <v>513</v>
      </c>
      <c r="B73" s="13" t="s">
        <v>514</v>
      </c>
      <c r="C73" s="13" t="s">
        <v>515</v>
      </c>
      <c r="D73" s="13" t="s">
        <v>516</v>
      </c>
      <c r="E73" s="13" t="s">
        <v>517</v>
      </c>
      <c r="F73" s="13" t="s">
        <v>59</v>
      </c>
      <c r="G73" s="14"/>
      <c r="H73" s="14">
        <v>31</v>
      </c>
      <c r="I73" s="14">
        <v>310.11</v>
      </c>
      <c r="J73" s="13" t="s">
        <v>91</v>
      </c>
      <c r="K73" s="14"/>
      <c r="L73" s="14">
        <v>9.3000000000000007</v>
      </c>
      <c r="M73" s="14">
        <v>93</v>
      </c>
      <c r="N73" s="18" t="s">
        <v>92</v>
      </c>
      <c r="O73" s="13" t="s">
        <v>62</v>
      </c>
      <c r="P73" s="13" t="s">
        <v>518</v>
      </c>
      <c r="Q73" s="13" t="s">
        <v>519</v>
      </c>
      <c r="R73" s="13" t="b">
        <f>TRUE()</f>
        <v>1</v>
      </c>
      <c r="S73" s="13" t="b">
        <f>TRUE()</f>
        <v>1</v>
      </c>
      <c r="T73" s="23" t="s">
        <v>126</v>
      </c>
      <c r="U73" s="13" t="s">
        <v>520</v>
      </c>
      <c r="V73" s="13" t="s">
        <v>95</v>
      </c>
      <c r="W73" s="19" t="s">
        <v>96</v>
      </c>
    </row>
    <row r="74" spans="1:23" ht="30">
      <c r="A74" s="13" t="s">
        <v>521</v>
      </c>
      <c r="B74" s="13" t="s">
        <v>522</v>
      </c>
      <c r="C74" s="13" t="s">
        <v>523</v>
      </c>
      <c r="D74" s="13" t="s">
        <v>524</v>
      </c>
      <c r="E74" s="13" t="s">
        <v>525</v>
      </c>
      <c r="F74" s="13" t="s">
        <v>59</v>
      </c>
      <c r="G74" s="14"/>
      <c r="H74" s="14">
        <v>5</v>
      </c>
      <c r="I74" s="14">
        <v>10</v>
      </c>
      <c r="J74" s="13" t="s">
        <v>91</v>
      </c>
      <c r="K74" s="14"/>
      <c r="L74" s="14">
        <v>1.5</v>
      </c>
      <c r="M74" s="14">
        <v>3</v>
      </c>
      <c r="N74" s="18" t="s">
        <v>92</v>
      </c>
      <c r="O74" s="13" t="s">
        <v>62</v>
      </c>
      <c r="P74" s="13" t="s">
        <v>526</v>
      </c>
      <c r="Q74" s="13" t="s">
        <v>527</v>
      </c>
      <c r="R74" s="13" t="b">
        <f>TRUE()</f>
        <v>1</v>
      </c>
      <c r="S74" s="13" t="b">
        <f>TRUE()</f>
        <v>1</v>
      </c>
      <c r="T74" s="18" t="s">
        <v>84</v>
      </c>
      <c r="U74" s="13" t="s">
        <v>528</v>
      </c>
      <c r="V74" s="13" t="s">
        <v>95</v>
      </c>
      <c r="W74" s="20" t="s">
        <v>103</v>
      </c>
    </row>
    <row r="75" spans="1:23">
      <c r="A75" s="13" t="s">
        <v>529</v>
      </c>
      <c r="B75" s="13" t="s">
        <v>530</v>
      </c>
      <c r="C75" s="13" t="s">
        <v>531</v>
      </c>
      <c r="D75" s="13" t="s">
        <v>532</v>
      </c>
      <c r="E75" s="13" t="s">
        <v>525</v>
      </c>
      <c r="F75" s="13" t="s">
        <v>59</v>
      </c>
      <c r="G75" s="14">
        <v>0.86</v>
      </c>
      <c r="H75" s="14">
        <v>20</v>
      </c>
      <c r="I75" s="14">
        <v>40.299999999999997</v>
      </c>
      <c r="J75" s="13" t="s">
        <v>91</v>
      </c>
      <c r="K75" s="14">
        <v>0.26</v>
      </c>
      <c r="L75" s="14">
        <v>6</v>
      </c>
      <c r="M75" s="14">
        <v>12.1</v>
      </c>
      <c r="N75" s="15" t="s">
        <v>61</v>
      </c>
      <c r="O75" s="13" t="s">
        <v>62</v>
      </c>
      <c r="P75" s="13" t="s">
        <v>533</v>
      </c>
      <c r="Q75" s="13" t="s">
        <v>534</v>
      </c>
      <c r="R75" s="13" t="b">
        <f>TRUE()</f>
        <v>1</v>
      </c>
      <c r="S75" s="13" t="b">
        <f>TRUE()</f>
        <v>1</v>
      </c>
      <c r="T75" s="23" t="s">
        <v>126</v>
      </c>
      <c r="U75" s="13" t="s">
        <v>535</v>
      </c>
      <c r="V75" s="13" t="s">
        <v>95</v>
      </c>
      <c r="W75" s="19" t="s">
        <v>96</v>
      </c>
    </row>
    <row r="76" spans="1:23" ht="30">
      <c r="A76" s="13" t="s">
        <v>536</v>
      </c>
      <c r="B76" s="13" t="s">
        <v>537</v>
      </c>
      <c r="C76" s="13" t="s">
        <v>538</v>
      </c>
      <c r="D76" s="13" t="s">
        <v>379</v>
      </c>
      <c r="E76" s="13" t="s">
        <v>539</v>
      </c>
      <c r="F76" s="13" t="s">
        <v>59</v>
      </c>
      <c r="G76" s="14"/>
      <c r="H76" s="14">
        <v>0.8</v>
      </c>
      <c r="I76" s="14">
        <v>7.81</v>
      </c>
      <c r="J76" s="13" t="s">
        <v>116</v>
      </c>
      <c r="K76" s="14"/>
      <c r="L76" s="14">
        <v>0.16</v>
      </c>
      <c r="M76" s="14">
        <v>1.56</v>
      </c>
      <c r="N76" s="15" t="s">
        <v>61</v>
      </c>
      <c r="O76" s="13" t="s">
        <v>62</v>
      </c>
      <c r="P76" s="13" t="s">
        <v>540</v>
      </c>
      <c r="Q76" s="13" t="s">
        <v>541</v>
      </c>
      <c r="R76" s="13" t="b">
        <f>TRUE()</f>
        <v>1</v>
      </c>
      <c r="S76" s="13" t="b">
        <f>FALSE()</f>
        <v>0</v>
      </c>
      <c r="T76" s="16" t="s">
        <v>65</v>
      </c>
      <c r="U76" s="13" t="s">
        <v>542</v>
      </c>
      <c r="V76" s="13" t="s">
        <v>342</v>
      </c>
      <c r="W76" s="17" t="s">
        <v>67</v>
      </c>
    </row>
    <row r="77" spans="1:23" ht="30">
      <c r="A77" s="13" t="s">
        <v>543</v>
      </c>
      <c r="B77" s="13" t="s">
        <v>544</v>
      </c>
      <c r="C77" s="13" t="s">
        <v>545</v>
      </c>
      <c r="D77" s="13" t="s">
        <v>193</v>
      </c>
      <c r="E77" s="13" t="s">
        <v>546</v>
      </c>
      <c r="F77" s="13" t="s">
        <v>59</v>
      </c>
      <c r="G77" s="14"/>
      <c r="H77" s="14">
        <v>15</v>
      </c>
      <c r="I77" s="14">
        <v>31.8</v>
      </c>
      <c r="J77" s="13" t="s">
        <v>195</v>
      </c>
      <c r="K77" s="14"/>
      <c r="L77" s="14">
        <v>7.5</v>
      </c>
      <c r="M77" s="14">
        <v>15.9</v>
      </c>
      <c r="N77" s="15" t="s">
        <v>61</v>
      </c>
      <c r="O77" s="13" t="s">
        <v>62</v>
      </c>
      <c r="P77" s="13" t="s">
        <v>547</v>
      </c>
      <c r="Q77" s="13" t="s">
        <v>548</v>
      </c>
      <c r="R77" s="13" t="b">
        <f>TRUE()</f>
        <v>1</v>
      </c>
      <c r="S77" s="13" t="b">
        <f>TRUE()</f>
        <v>1</v>
      </c>
      <c r="T77" s="23" t="s">
        <v>126</v>
      </c>
      <c r="U77" s="13" t="s">
        <v>549</v>
      </c>
      <c r="V77" s="13" t="s">
        <v>198</v>
      </c>
      <c r="W77" s="19" t="s">
        <v>96</v>
      </c>
    </row>
    <row r="78" spans="1:23" ht="30">
      <c r="A78" s="13" t="s">
        <v>550</v>
      </c>
      <c r="B78" s="13" t="s">
        <v>551</v>
      </c>
      <c r="C78" s="13" t="s">
        <v>552</v>
      </c>
      <c r="D78" s="13" t="s">
        <v>553</v>
      </c>
      <c r="E78" s="13" t="s">
        <v>554</v>
      </c>
      <c r="F78" s="13" t="s">
        <v>59</v>
      </c>
      <c r="G78" s="14">
        <v>24.96</v>
      </c>
      <c r="H78" s="14">
        <v>29</v>
      </c>
      <c r="I78" s="14">
        <v>33.71</v>
      </c>
      <c r="J78" s="13" t="s">
        <v>159</v>
      </c>
      <c r="K78" s="14">
        <v>49.9</v>
      </c>
      <c r="L78" s="14">
        <v>58</v>
      </c>
      <c r="M78" s="14">
        <v>67.400000000000006</v>
      </c>
      <c r="N78" s="18" t="s">
        <v>92</v>
      </c>
      <c r="O78" s="13" t="s">
        <v>62</v>
      </c>
      <c r="P78" s="13" t="s">
        <v>555</v>
      </c>
      <c r="Q78" s="13" t="s">
        <v>556</v>
      </c>
      <c r="R78" s="13" t="b">
        <f>TRUE()</f>
        <v>1</v>
      </c>
      <c r="S78" s="13" t="b">
        <f>FALSE()</f>
        <v>0</v>
      </c>
      <c r="T78" s="23" t="s">
        <v>126</v>
      </c>
      <c r="U78" s="13" t="s">
        <v>557</v>
      </c>
      <c r="V78" s="13" t="s">
        <v>74</v>
      </c>
      <c r="W78" s="19" t="s">
        <v>96</v>
      </c>
    </row>
    <row r="79" spans="1:23" ht="30">
      <c r="A79" s="13" t="s">
        <v>558</v>
      </c>
      <c r="B79" s="13" t="s">
        <v>559</v>
      </c>
      <c r="C79" s="13" t="s">
        <v>560</v>
      </c>
      <c r="D79" s="13" t="s">
        <v>212</v>
      </c>
      <c r="E79" s="13" t="s">
        <v>561</v>
      </c>
      <c r="F79" s="13" t="s">
        <v>59</v>
      </c>
      <c r="G79" s="14">
        <v>5</v>
      </c>
      <c r="H79" s="14">
        <v>17</v>
      </c>
      <c r="I79" s="14">
        <v>25</v>
      </c>
      <c r="J79" s="13" t="s">
        <v>91</v>
      </c>
      <c r="K79" s="14">
        <v>1.5</v>
      </c>
      <c r="L79" s="14">
        <v>5.0999999999999996</v>
      </c>
      <c r="M79" s="14">
        <v>7.5</v>
      </c>
      <c r="N79" s="24" t="s">
        <v>140</v>
      </c>
      <c r="O79" s="13" t="s">
        <v>562</v>
      </c>
      <c r="P79" s="13" t="s">
        <v>526</v>
      </c>
      <c r="Q79" s="13" t="s">
        <v>563</v>
      </c>
      <c r="R79" s="13" t="b">
        <f>TRUE()</f>
        <v>1</v>
      </c>
      <c r="S79" s="13" t="b">
        <f>TRUE()</f>
        <v>1</v>
      </c>
      <c r="T79" s="18" t="s">
        <v>84</v>
      </c>
      <c r="U79" s="13" t="s">
        <v>564</v>
      </c>
      <c r="V79" s="13" t="s">
        <v>95</v>
      </c>
      <c r="W79" s="19" t="s">
        <v>96</v>
      </c>
    </row>
    <row r="80" spans="1:23" ht="30">
      <c r="A80" s="13" t="s">
        <v>565</v>
      </c>
      <c r="B80" s="13" t="s">
        <v>566</v>
      </c>
      <c r="C80" s="13" t="s">
        <v>567</v>
      </c>
      <c r="D80" s="13" t="s">
        <v>180</v>
      </c>
      <c r="E80" s="13" t="s">
        <v>568</v>
      </c>
      <c r="F80" s="13" t="s">
        <v>80</v>
      </c>
      <c r="G80" s="14"/>
      <c r="H80" s="14"/>
      <c r="I80" s="14"/>
      <c r="J80" s="13" t="s">
        <v>81</v>
      </c>
      <c r="K80" s="14"/>
      <c r="L80" s="14"/>
      <c r="M80" s="14"/>
      <c r="N80" s="24" t="s">
        <v>140</v>
      </c>
      <c r="O80" s="13" t="s">
        <v>569</v>
      </c>
      <c r="P80" s="13"/>
      <c r="Q80" s="13" t="s">
        <v>570</v>
      </c>
      <c r="R80" s="13" t="b">
        <f>TRUE()</f>
        <v>1</v>
      </c>
      <c r="S80" s="13" t="b">
        <f>FALSE()</f>
        <v>0</v>
      </c>
      <c r="T80" s="18" t="s">
        <v>84</v>
      </c>
      <c r="U80" s="13" t="s">
        <v>571</v>
      </c>
      <c r="V80" s="13" t="s">
        <v>74</v>
      </c>
      <c r="W80" s="20" t="s">
        <v>103</v>
      </c>
    </row>
    <row r="81" spans="1:23" ht="30">
      <c r="A81" s="13" t="s">
        <v>572</v>
      </c>
      <c r="B81" s="13" t="s">
        <v>573</v>
      </c>
      <c r="C81" s="13" t="s">
        <v>574</v>
      </c>
      <c r="D81" s="13" t="s">
        <v>575</v>
      </c>
      <c r="E81" s="13" t="s">
        <v>576</v>
      </c>
      <c r="F81" s="13" t="s">
        <v>59</v>
      </c>
      <c r="G81" s="14">
        <v>5</v>
      </c>
      <c r="H81" s="14">
        <v>18</v>
      </c>
      <c r="I81" s="14">
        <v>50</v>
      </c>
      <c r="J81" s="13" t="s">
        <v>91</v>
      </c>
      <c r="K81" s="14">
        <v>1.5</v>
      </c>
      <c r="L81" s="14">
        <v>5.4</v>
      </c>
      <c r="M81" s="14">
        <v>15</v>
      </c>
      <c r="N81" s="15" t="s">
        <v>61</v>
      </c>
      <c r="O81" s="13" t="s">
        <v>62</v>
      </c>
      <c r="P81" s="13" t="s">
        <v>533</v>
      </c>
      <c r="Q81" s="13" t="s">
        <v>577</v>
      </c>
      <c r="R81" s="13" t="b">
        <f>TRUE()</f>
        <v>1</v>
      </c>
      <c r="S81" s="13" t="b">
        <f>TRUE()</f>
        <v>1</v>
      </c>
      <c r="T81" s="23" t="s">
        <v>126</v>
      </c>
      <c r="U81" s="13" t="s">
        <v>578</v>
      </c>
      <c r="V81" s="13" t="s">
        <v>95</v>
      </c>
      <c r="W81" s="21" t="s">
        <v>110</v>
      </c>
    </row>
    <row r="82" spans="1:23" ht="30">
      <c r="A82" s="13" t="s">
        <v>579</v>
      </c>
      <c r="B82" s="13" t="s">
        <v>580</v>
      </c>
      <c r="C82" s="13" t="s">
        <v>581</v>
      </c>
      <c r="D82" s="13" t="s">
        <v>582</v>
      </c>
      <c r="E82" s="13" t="s">
        <v>583</v>
      </c>
      <c r="F82" s="13" t="s">
        <v>59</v>
      </c>
      <c r="G82" s="14">
        <v>0</v>
      </c>
      <c r="H82" s="14">
        <v>5</v>
      </c>
      <c r="I82" s="14">
        <v>15</v>
      </c>
      <c r="J82" s="13" t="s">
        <v>91</v>
      </c>
      <c r="K82" s="14">
        <v>0</v>
      </c>
      <c r="L82" s="14">
        <v>1.5</v>
      </c>
      <c r="M82" s="14">
        <v>4.5</v>
      </c>
      <c r="N82" s="18" t="s">
        <v>92</v>
      </c>
      <c r="O82" s="13" t="s">
        <v>562</v>
      </c>
      <c r="P82" s="13" t="s">
        <v>526</v>
      </c>
      <c r="Q82" s="13" t="s">
        <v>584</v>
      </c>
      <c r="R82" s="13" t="b">
        <f>TRUE()</f>
        <v>1</v>
      </c>
      <c r="S82" s="13" t="b">
        <f>TRUE()</f>
        <v>1</v>
      </c>
      <c r="T82" s="18" t="s">
        <v>84</v>
      </c>
      <c r="U82" s="13" t="s">
        <v>585</v>
      </c>
      <c r="V82" s="13" t="s">
        <v>95</v>
      </c>
      <c r="W82" s="19" t="s">
        <v>96</v>
      </c>
    </row>
    <row r="83" spans="1:23" ht="30">
      <c r="A83" s="13" t="s">
        <v>586</v>
      </c>
      <c r="B83" s="13" t="s">
        <v>587</v>
      </c>
      <c r="C83" s="13" t="s">
        <v>588</v>
      </c>
      <c r="D83" s="13" t="s">
        <v>582</v>
      </c>
      <c r="E83" s="13" t="s">
        <v>525</v>
      </c>
      <c r="F83" s="13" t="s">
        <v>59</v>
      </c>
      <c r="G83" s="14">
        <v>5</v>
      </c>
      <c r="H83" s="14">
        <v>20</v>
      </c>
      <c r="I83" s="14">
        <v>40</v>
      </c>
      <c r="J83" s="13" t="s">
        <v>91</v>
      </c>
      <c r="K83" s="14">
        <v>1.5</v>
      </c>
      <c r="L83" s="14">
        <v>6</v>
      </c>
      <c r="M83" s="14">
        <v>12</v>
      </c>
      <c r="N83" s="18" t="s">
        <v>92</v>
      </c>
      <c r="O83" s="13" t="s">
        <v>562</v>
      </c>
      <c r="P83" s="13" t="s">
        <v>526</v>
      </c>
      <c r="Q83" s="13" t="s">
        <v>589</v>
      </c>
      <c r="R83" s="13" t="b">
        <f>TRUE()</f>
        <v>1</v>
      </c>
      <c r="S83" s="13" t="b">
        <f>TRUE()</f>
        <v>1</v>
      </c>
      <c r="T83" s="23" t="s">
        <v>126</v>
      </c>
      <c r="U83" s="13" t="s">
        <v>590</v>
      </c>
      <c r="V83" s="13" t="s">
        <v>95</v>
      </c>
      <c r="W83" s="19" t="s">
        <v>96</v>
      </c>
    </row>
    <row r="84" spans="1:23" ht="30">
      <c r="A84" s="13" t="s">
        <v>591</v>
      </c>
      <c r="B84" s="13" t="s">
        <v>592</v>
      </c>
      <c r="C84" s="13" t="s">
        <v>593</v>
      </c>
      <c r="D84" s="13" t="s">
        <v>582</v>
      </c>
      <c r="E84" s="13" t="s">
        <v>594</v>
      </c>
      <c r="F84" s="13" t="s">
        <v>59</v>
      </c>
      <c r="G84" s="14">
        <v>15</v>
      </c>
      <c r="H84" s="14">
        <v>50</v>
      </c>
      <c r="I84" s="14">
        <v>120</v>
      </c>
      <c r="J84" s="13" t="s">
        <v>91</v>
      </c>
      <c r="K84" s="14">
        <v>4.5</v>
      </c>
      <c r="L84" s="14">
        <v>15</v>
      </c>
      <c r="M84" s="14">
        <v>36</v>
      </c>
      <c r="N84" s="18" t="s">
        <v>92</v>
      </c>
      <c r="O84" s="13" t="s">
        <v>562</v>
      </c>
      <c r="P84" s="13" t="s">
        <v>526</v>
      </c>
      <c r="Q84" s="13" t="s">
        <v>595</v>
      </c>
      <c r="R84" s="13" t="b">
        <f>TRUE()</f>
        <v>1</v>
      </c>
      <c r="S84" s="13" t="b">
        <f>TRUE()</f>
        <v>1</v>
      </c>
      <c r="T84" s="23" t="s">
        <v>126</v>
      </c>
      <c r="U84" s="13" t="s">
        <v>596</v>
      </c>
      <c r="V84" s="13" t="s">
        <v>95</v>
      </c>
      <c r="W84" s="19" t="s">
        <v>96</v>
      </c>
    </row>
    <row r="85" spans="1:23" ht="30">
      <c r="A85" s="13" t="s">
        <v>597</v>
      </c>
      <c r="B85" s="13" t="s">
        <v>598</v>
      </c>
      <c r="C85" s="13" t="s">
        <v>599</v>
      </c>
      <c r="D85" s="13" t="s">
        <v>600</v>
      </c>
      <c r="E85" s="13" t="s">
        <v>601</v>
      </c>
      <c r="F85" s="13" t="s">
        <v>59</v>
      </c>
      <c r="G85" s="14">
        <v>5</v>
      </c>
      <c r="H85" s="14">
        <v>22</v>
      </c>
      <c r="I85" s="14">
        <v>60</v>
      </c>
      <c r="J85" s="13" t="s">
        <v>91</v>
      </c>
      <c r="K85" s="14">
        <v>1.5</v>
      </c>
      <c r="L85" s="14">
        <v>6.6</v>
      </c>
      <c r="M85" s="14">
        <v>18</v>
      </c>
      <c r="N85" s="18" t="s">
        <v>92</v>
      </c>
      <c r="O85" s="13" t="s">
        <v>562</v>
      </c>
      <c r="P85" s="13" t="s">
        <v>526</v>
      </c>
      <c r="Q85" s="13" t="s">
        <v>602</v>
      </c>
      <c r="R85" s="13" t="b">
        <f>TRUE()</f>
        <v>1</v>
      </c>
      <c r="S85" s="13" t="b">
        <f>TRUE()</f>
        <v>1</v>
      </c>
      <c r="T85" s="23" t="s">
        <v>126</v>
      </c>
      <c r="U85" s="13" t="s">
        <v>603</v>
      </c>
      <c r="V85" s="13" t="s">
        <v>95</v>
      </c>
      <c r="W85" s="19" t="s">
        <v>96</v>
      </c>
    </row>
    <row r="86" spans="1:23">
      <c r="A86" s="13" t="s">
        <v>604</v>
      </c>
      <c r="B86" s="13" t="s">
        <v>605</v>
      </c>
      <c r="C86" s="13" t="s">
        <v>606</v>
      </c>
      <c r="D86" s="13" t="s">
        <v>575</v>
      </c>
      <c r="E86" s="13" t="s">
        <v>607</v>
      </c>
      <c r="F86" s="13" t="s">
        <v>59</v>
      </c>
      <c r="G86" s="14">
        <v>3</v>
      </c>
      <c r="H86" s="14">
        <v>15</v>
      </c>
      <c r="I86" s="14">
        <v>40</v>
      </c>
      <c r="J86" s="13" t="s">
        <v>91</v>
      </c>
      <c r="K86" s="14">
        <v>0.9</v>
      </c>
      <c r="L86" s="14">
        <v>4.5</v>
      </c>
      <c r="M86" s="14">
        <v>12</v>
      </c>
      <c r="N86" s="18" t="s">
        <v>92</v>
      </c>
      <c r="O86" s="13" t="s">
        <v>562</v>
      </c>
      <c r="P86" s="13" t="s">
        <v>533</v>
      </c>
      <c r="Q86" s="13" t="s">
        <v>608</v>
      </c>
      <c r="R86" s="13" t="b">
        <f>TRUE()</f>
        <v>1</v>
      </c>
      <c r="S86" s="13" t="b">
        <f>TRUE()</f>
        <v>1</v>
      </c>
      <c r="T86" s="18" t="s">
        <v>84</v>
      </c>
      <c r="U86" s="13" t="s">
        <v>609</v>
      </c>
      <c r="V86" s="13" t="s">
        <v>95</v>
      </c>
      <c r="W86" s="21" t="s">
        <v>110</v>
      </c>
    </row>
    <row r="87" spans="1:23" ht="30">
      <c r="A87" s="13" t="s">
        <v>610</v>
      </c>
      <c r="B87" s="13" t="s">
        <v>611</v>
      </c>
      <c r="C87" s="13" t="s">
        <v>612</v>
      </c>
      <c r="D87" s="13" t="s">
        <v>100</v>
      </c>
      <c r="E87" s="13" t="s">
        <v>613</v>
      </c>
      <c r="F87" s="13" t="s">
        <v>59</v>
      </c>
      <c r="G87" s="14">
        <v>0</v>
      </c>
      <c r="H87" s="14">
        <v>2.5</v>
      </c>
      <c r="I87" s="14">
        <v>8</v>
      </c>
      <c r="J87" s="13" t="s">
        <v>91</v>
      </c>
      <c r="K87" s="14">
        <v>0</v>
      </c>
      <c r="L87" s="14">
        <v>0.75</v>
      </c>
      <c r="M87" s="14">
        <v>2.4</v>
      </c>
      <c r="N87" s="15" t="s">
        <v>61</v>
      </c>
      <c r="O87" s="13" t="s">
        <v>62</v>
      </c>
      <c r="P87" s="13" t="s">
        <v>526</v>
      </c>
      <c r="Q87" s="13" t="s">
        <v>614</v>
      </c>
      <c r="R87" s="13" t="b">
        <f>FALSE()</f>
        <v>0</v>
      </c>
      <c r="S87" s="13" t="b">
        <f>TRUE()</f>
        <v>1</v>
      </c>
      <c r="T87" s="16" t="s">
        <v>65</v>
      </c>
      <c r="U87" s="13" t="s">
        <v>615</v>
      </c>
      <c r="V87" s="13" t="s">
        <v>95</v>
      </c>
      <c r="W87" s="20" t="s">
        <v>103</v>
      </c>
    </row>
    <row r="88" spans="1:23" ht="30">
      <c r="A88" s="13" t="s">
        <v>616</v>
      </c>
      <c r="B88" s="13" t="s">
        <v>617</v>
      </c>
      <c r="C88" s="13" t="s">
        <v>618</v>
      </c>
      <c r="D88" s="13" t="s">
        <v>100</v>
      </c>
      <c r="E88" s="13" t="s">
        <v>619</v>
      </c>
      <c r="F88" s="13" t="s">
        <v>59</v>
      </c>
      <c r="G88" s="14">
        <v>10</v>
      </c>
      <c r="H88" s="14">
        <v>40</v>
      </c>
      <c r="I88" s="14">
        <v>160</v>
      </c>
      <c r="J88" s="13" t="s">
        <v>91</v>
      </c>
      <c r="K88" s="14">
        <v>3</v>
      </c>
      <c r="L88" s="14">
        <v>12</v>
      </c>
      <c r="M88" s="14">
        <v>48</v>
      </c>
      <c r="N88" s="15" t="s">
        <v>61</v>
      </c>
      <c r="O88" s="13" t="s">
        <v>62</v>
      </c>
      <c r="P88" s="13" t="s">
        <v>526</v>
      </c>
      <c r="Q88" s="13" t="s">
        <v>620</v>
      </c>
      <c r="R88" s="13" t="b">
        <f>TRUE()</f>
        <v>1</v>
      </c>
      <c r="S88" s="13" t="b">
        <f>TRUE()</f>
        <v>1</v>
      </c>
      <c r="T88" s="23" t="s">
        <v>126</v>
      </c>
      <c r="U88" s="13" t="s">
        <v>621</v>
      </c>
      <c r="V88" s="13" t="s">
        <v>95</v>
      </c>
      <c r="W88" s="19" t="s">
        <v>96</v>
      </c>
    </row>
    <row r="89" spans="1:23" ht="30">
      <c r="A89" s="13" t="s">
        <v>622</v>
      </c>
      <c r="B89" s="13" t="s">
        <v>623</v>
      </c>
      <c r="C89" s="13" t="s">
        <v>624</v>
      </c>
      <c r="D89" s="13" t="s">
        <v>625</v>
      </c>
      <c r="E89" s="13" t="s">
        <v>619</v>
      </c>
      <c r="F89" s="13" t="s">
        <v>59</v>
      </c>
      <c r="G89" s="14">
        <v>40</v>
      </c>
      <c r="H89" s="14">
        <v>100</v>
      </c>
      <c r="I89" s="14">
        <v>250</v>
      </c>
      <c r="J89" s="13" t="s">
        <v>91</v>
      </c>
      <c r="K89" s="14">
        <v>12</v>
      </c>
      <c r="L89" s="14">
        <v>30</v>
      </c>
      <c r="M89" s="14">
        <v>75</v>
      </c>
      <c r="N89" s="15" t="s">
        <v>61</v>
      </c>
      <c r="O89" s="13" t="s">
        <v>62</v>
      </c>
      <c r="P89" s="13" t="s">
        <v>526</v>
      </c>
      <c r="Q89" s="13" t="s">
        <v>626</v>
      </c>
      <c r="R89" s="13" t="b">
        <f>TRUE()</f>
        <v>1</v>
      </c>
      <c r="S89" s="13" t="b">
        <f>TRUE()</f>
        <v>1</v>
      </c>
      <c r="T89" s="23" t="s">
        <v>126</v>
      </c>
      <c r="U89" s="13" t="s">
        <v>627</v>
      </c>
      <c r="V89" s="13" t="s">
        <v>95</v>
      </c>
      <c r="W89" s="19" t="s">
        <v>96</v>
      </c>
    </row>
    <row r="90" spans="1:23" ht="30">
      <c r="A90" s="13" t="s">
        <v>628</v>
      </c>
      <c r="B90" s="13" t="s">
        <v>629</v>
      </c>
      <c r="C90" s="13" t="s">
        <v>630</v>
      </c>
      <c r="D90" s="13" t="s">
        <v>631</v>
      </c>
      <c r="E90" s="13" t="s">
        <v>632</v>
      </c>
      <c r="F90" s="13" t="s">
        <v>59</v>
      </c>
      <c r="G90" s="14">
        <v>5</v>
      </c>
      <c r="H90" s="14">
        <v>15</v>
      </c>
      <c r="I90" s="14">
        <v>40</v>
      </c>
      <c r="J90" s="13" t="s">
        <v>91</v>
      </c>
      <c r="K90" s="14">
        <v>1.5</v>
      </c>
      <c r="L90" s="14">
        <v>4.5</v>
      </c>
      <c r="M90" s="14">
        <v>12</v>
      </c>
      <c r="N90" s="18" t="s">
        <v>92</v>
      </c>
      <c r="O90" s="13" t="s">
        <v>562</v>
      </c>
      <c r="P90" s="13" t="s">
        <v>526</v>
      </c>
      <c r="Q90" s="13" t="s">
        <v>633</v>
      </c>
      <c r="R90" s="13" t="b">
        <f>TRUE()</f>
        <v>1</v>
      </c>
      <c r="S90" s="13" t="b">
        <f>TRUE()</f>
        <v>1</v>
      </c>
      <c r="T90" s="18" t="s">
        <v>84</v>
      </c>
      <c r="U90" s="13" t="s">
        <v>634</v>
      </c>
      <c r="V90" s="13" t="s">
        <v>95</v>
      </c>
      <c r="W90" s="21" t="s">
        <v>110</v>
      </c>
    </row>
    <row r="91" spans="1:23">
      <c r="A91" s="13" t="s">
        <v>635</v>
      </c>
      <c r="B91" s="13" t="s">
        <v>636</v>
      </c>
      <c r="C91" s="13" t="s">
        <v>637</v>
      </c>
      <c r="D91" s="13" t="s">
        <v>638</v>
      </c>
      <c r="E91" s="13" t="s">
        <v>639</v>
      </c>
      <c r="F91" s="13" t="s">
        <v>59</v>
      </c>
      <c r="G91" s="14">
        <v>5</v>
      </c>
      <c r="H91" s="14">
        <v>25</v>
      </c>
      <c r="I91" s="14">
        <v>80</v>
      </c>
      <c r="J91" s="13" t="s">
        <v>91</v>
      </c>
      <c r="K91" s="14">
        <v>1.5</v>
      </c>
      <c r="L91" s="14">
        <v>7.5</v>
      </c>
      <c r="M91" s="14">
        <v>24</v>
      </c>
      <c r="N91" s="15" t="s">
        <v>61</v>
      </c>
      <c r="O91" s="13" t="s">
        <v>62</v>
      </c>
      <c r="P91" s="13" t="s">
        <v>640</v>
      </c>
      <c r="Q91" s="13" t="s">
        <v>641</v>
      </c>
      <c r="R91" s="13" t="b">
        <f>TRUE()</f>
        <v>1</v>
      </c>
      <c r="S91" s="13" t="b">
        <f>TRUE()</f>
        <v>1</v>
      </c>
      <c r="T91" s="23" t="s">
        <v>126</v>
      </c>
      <c r="U91" s="13" t="s">
        <v>642</v>
      </c>
      <c r="V91" s="13" t="s">
        <v>95</v>
      </c>
      <c r="W91" s="19" t="s">
        <v>96</v>
      </c>
    </row>
    <row r="92" spans="1:23">
      <c r="A92" s="13" t="s">
        <v>643</v>
      </c>
      <c r="B92" s="13" t="s">
        <v>644</v>
      </c>
      <c r="C92" s="13" t="s">
        <v>645</v>
      </c>
      <c r="D92" s="13" t="s">
        <v>646</v>
      </c>
      <c r="E92" s="13" t="s">
        <v>647</v>
      </c>
      <c r="F92" s="13" t="s">
        <v>59</v>
      </c>
      <c r="G92" s="14">
        <v>20</v>
      </c>
      <c r="H92" s="14">
        <v>50</v>
      </c>
      <c r="I92" s="14">
        <v>150</v>
      </c>
      <c r="J92" s="13" t="s">
        <v>116</v>
      </c>
      <c r="K92" s="14">
        <v>4</v>
      </c>
      <c r="L92" s="14">
        <v>10</v>
      </c>
      <c r="M92" s="14">
        <v>30</v>
      </c>
      <c r="N92" s="15" t="s">
        <v>61</v>
      </c>
      <c r="O92" s="13" t="s">
        <v>62</v>
      </c>
      <c r="P92" s="13" t="s">
        <v>640</v>
      </c>
      <c r="Q92" s="13" t="s">
        <v>648</v>
      </c>
      <c r="R92" s="13" t="b">
        <f>TRUE()</f>
        <v>1</v>
      </c>
      <c r="S92" s="13" t="b">
        <f>TRUE()</f>
        <v>1</v>
      </c>
      <c r="T92" s="23" t="s">
        <v>126</v>
      </c>
      <c r="U92" s="13" t="s">
        <v>649</v>
      </c>
      <c r="V92" s="13" t="s">
        <v>95</v>
      </c>
      <c r="W92" s="19" t="s">
        <v>96</v>
      </c>
    </row>
    <row r="93" spans="1:23" ht="30">
      <c r="A93" s="13" t="s">
        <v>650</v>
      </c>
      <c r="B93" s="13" t="s">
        <v>651</v>
      </c>
      <c r="C93" s="13" t="s">
        <v>652</v>
      </c>
      <c r="D93" s="13" t="s">
        <v>653</v>
      </c>
      <c r="E93" s="13" t="s">
        <v>654</v>
      </c>
      <c r="F93" s="13" t="s">
        <v>59</v>
      </c>
      <c r="G93" s="14">
        <v>30</v>
      </c>
      <c r="H93" s="14">
        <v>70</v>
      </c>
      <c r="I93" s="14">
        <v>200</v>
      </c>
      <c r="J93" s="13" t="s">
        <v>91</v>
      </c>
      <c r="K93" s="14">
        <v>9</v>
      </c>
      <c r="L93" s="14">
        <v>21</v>
      </c>
      <c r="M93" s="14">
        <v>60</v>
      </c>
      <c r="N93" s="18" t="s">
        <v>92</v>
      </c>
      <c r="O93" s="13" t="s">
        <v>562</v>
      </c>
      <c r="P93" s="13" t="s">
        <v>526</v>
      </c>
      <c r="Q93" s="13" t="s">
        <v>655</v>
      </c>
      <c r="R93" s="13" t="b">
        <f>TRUE()</f>
        <v>1</v>
      </c>
      <c r="S93" s="13" t="b">
        <f>TRUE()</f>
        <v>1</v>
      </c>
      <c r="T93" s="23" t="s">
        <v>126</v>
      </c>
      <c r="U93" s="13" t="s">
        <v>656</v>
      </c>
      <c r="V93" s="13" t="s">
        <v>95</v>
      </c>
      <c r="W93" s="19" t="s">
        <v>96</v>
      </c>
    </row>
    <row r="94" spans="1:23" ht="30">
      <c r="A94" s="13" t="s">
        <v>657</v>
      </c>
      <c r="B94" s="13" t="s">
        <v>658</v>
      </c>
      <c r="C94" s="13" t="s">
        <v>659</v>
      </c>
      <c r="D94" s="13" t="s">
        <v>114</v>
      </c>
      <c r="E94" s="13" t="s">
        <v>660</v>
      </c>
      <c r="F94" s="13" t="s">
        <v>59</v>
      </c>
      <c r="G94" s="14">
        <v>5</v>
      </c>
      <c r="H94" s="14">
        <v>30</v>
      </c>
      <c r="I94" s="14">
        <v>100</v>
      </c>
      <c r="J94" s="13" t="s">
        <v>116</v>
      </c>
      <c r="K94" s="14">
        <v>1</v>
      </c>
      <c r="L94" s="14">
        <v>6</v>
      </c>
      <c r="M94" s="14">
        <v>20</v>
      </c>
      <c r="N94" s="15" t="s">
        <v>61</v>
      </c>
      <c r="O94" s="13" t="s">
        <v>62</v>
      </c>
      <c r="P94" s="13" t="s">
        <v>526</v>
      </c>
      <c r="Q94" s="13" t="s">
        <v>661</v>
      </c>
      <c r="R94" s="13" t="b">
        <f>TRUE()</f>
        <v>1</v>
      </c>
      <c r="S94" s="13" t="b">
        <f>TRUE()</f>
        <v>1</v>
      </c>
      <c r="T94" s="23" t="s">
        <v>126</v>
      </c>
      <c r="U94" s="13" t="s">
        <v>662</v>
      </c>
      <c r="V94" s="13" t="s">
        <v>95</v>
      </c>
      <c r="W94" s="19" t="s">
        <v>96</v>
      </c>
    </row>
    <row r="95" spans="1:23" ht="30">
      <c r="A95" s="13" t="s">
        <v>663</v>
      </c>
      <c r="B95" s="13" t="s">
        <v>664</v>
      </c>
      <c r="C95" s="13" t="s">
        <v>665</v>
      </c>
      <c r="D95" s="13" t="s">
        <v>114</v>
      </c>
      <c r="E95" s="13" t="s">
        <v>666</v>
      </c>
      <c r="F95" s="13" t="s">
        <v>59</v>
      </c>
      <c r="G95" s="14">
        <v>20</v>
      </c>
      <c r="H95" s="14">
        <v>80</v>
      </c>
      <c r="I95" s="14">
        <v>250</v>
      </c>
      <c r="J95" s="13" t="s">
        <v>116</v>
      </c>
      <c r="K95" s="14">
        <v>4</v>
      </c>
      <c r="L95" s="14">
        <v>16</v>
      </c>
      <c r="M95" s="14">
        <v>50</v>
      </c>
      <c r="N95" s="15" t="s">
        <v>61</v>
      </c>
      <c r="O95" s="13" t="s">
        <v>62</v>
      </c>
      <c r="P95" s="13" t="s">
        <v>526</v>
      </c>
      <c r="Q95" s="13" t="s">
        <v>667</v>
      </c>
      <c r="R95" s="13" t="b">
        <f>TRUE()</f>
        <v>1</v>
      </c>
      <c r="S95" s="13" t="b">
        <f>TRUE()</f>
        <v>1</v>
      </c>
      <c r="T95" s="23" t="s">
        <v>126</v>
      </c>
      <c r="U95" s="13" t="s">
        <v>668</v>
      </c>
      <c r="V95" s="13" t="s">
        <v>95</v>
      </c>
      <c r="W95" s="19" t="s">
        <v>96</v>
      </c>
    </row>
    <row r="96" spans="1:23" ht="30">
      <c r="A96" s="13" t="s">
        <v>669</v>
      </c>
      <c r="B96" s="13" t="s">
        <v>670</v>
      </c>
      <c r="C96" s="13" t="s">
        <v>671</v>
      </c>
      <c r="D96" s="13" t="s">
        <v>672</v>
      </c>
      <c r="E96" s="13" t="s">
        <v>673</v>
      </c>
      <c r="F96" s="13" t="s">
        <v>59</v>
      </c>
      <c r="G96" s="14">
        <v>1</v>
      </c>
      <c r="H96" s="14">
        <v>25</v>
      </c>
      <c r="I96" s="14">
        <v>150</v>
      </c>
      <c r="J96" s="13" t="s">
        <v>91</v>
      </c>
      <c r="K96" s="14">
        <v>0.3</v>
      </c>
      <c r="L96" s="14">
        <v>7.5</v>
      </c>
      <c r="M96" s="14">
        <v>45</v>
      </c>
      <c r="N96" s="15" t="s">
        <v>61</v>
      </c>
      <c r="O96" s="13" t="s">
        <v>62</v>
      </c>
      <c r="P96" s="13" t="s">
        <v>674</v>
      </c>
      <c r="Q96" s="13" t="s">
        <v>675</v>
      </c>
      <c r="R96" s="13" t="b">
        <f>TRUE()</f>
        <v>1</v>
      </c>
      <c r="S96" s="13" t="b">
        <f>TRUE()</f>
        <v>1</v>
      </c>
      <c r="T96" s="23" t="s">
        <v>126</v>
      </c>
      <c r="U96" s="13" t="s">
        <v>676</v>
      </c>
      <c r="V96" s="13" t="s">
        <v>95</v>
      </c>
      <c r="W96" s="19" t="s">
        <v>96</v>
      </c>
    </row>
    <row r="97" spans="1:23">
      <c r="A97" s="13" t="s">
        <v>677</v>
      </c>
      <c r="B97" s="13" t="s">
        <v>678</v>
      </c>
      <c r="C97" s="13" t="s">
        <v>679</v>
      </c>
      <c r="D97" s="13" t="s">
        <v>672</v>
      </c>
      <c r="E97" s="13" t="s">
        <v>680</v>
      </c>
      <c r="F97" s="13" t="s">
        <v>59</v>
      </c>
      <c r="G97" s="14">
        <v>1</v>
      </c>
      <c r="H97" s="14">
        <v>25</v>
      </c>
      <c r="I97" s="14">
        <v>150</v>
      </c>
      <c r="J97" s="13" t="s">
        <v>91</v>
      </c>
      <c r="K97" s="14">
        <v>0.3</v>
      </c>
      <c r="L97" s="14">
        <v>7.5</v>
      </c>
      <c r="M97" s="14">
        <v>45</v>
      </c>
      <c r="N97" s="15" t="s">
        <v>61</v>
      </c>
      <c r="O97" s="13" t="s">
        <v>62</v>
      </c>
      <c r="P97" s="13" t="s">
        <v>674</v>
      </c>
      <c r="Q97" s="13" t="s">
        <v>681</v>
      </c>
      <c r="R97" s="13" t="b">
        <f>TRUE()</f>
        <v>1</v>
      </c>
      <c r="S97" s="13" t="b">
        <f>TRUE()</f>
        <v>1</v>
      </c>
      <c r="T97" s="23" t="s">
        <v>126</v>
      </c>
      <c r="U97" s="13" t="s">
        <v>682</v>
      </c>
      <c r="V97" s="13" t="s">
        <v>95</v>
      </c>
      <c r="W97" s="19" t="s">
        <v>96</v>
      </c>
    </row>
    <row r="98" spans="1:23" ht="30">
      <c r="A98" s="13" t="s">
        <v>683</v>
      </c>
      <c r="B98" s="13" t="s">
        <v>684</v>
      </c>
      <c r="C98" s="13" t="s">
        <v>685</v>
      </c>
      <c r="D98" s="13" t="s">
        <v>672</v>
      </c>
      <c r="E98" s="13" t="s">
        <v>686</v>
      </c>
      <c r="F98" s="13" t="s">
        <v>59</v>
      </c>
      <c r="G98" s="14">
        <v>0</v>
      </c>
      <c r="H98" s="14">
        <v>3</v>
      </c>
      <c r="I98" s="14">
        <v>30</v>
      </c>
      <c r="J98" s="13" t="s">
        <v>91</v>
      </c>
      <c r="K98" s="14">
        <v>0</v>
      </c>
      <c r="L98" s="14">
        <v>0.9</v>
      </c>
      <c r="M98" s="14">
        <v>9</v>
      </c>
      <c r="N98" s="18" t="s">
        <v>92</v>
      </c>
      <c r="O98" s="13" t="s">
        <v>62</v>
      </c>
      <c r="P98" s="13" t="s">
        <v>526</v>
      </c>
      <c r="Q98" s="13" t="s">
        <v>687</v>
      </c>
      <c r="R98" s="13" t="b">
        <f>TRUE()</f>
        <v>1</v>
      </c>
      <c r="S98" s="13" t="b">
        <f>TRUE()</f>
        <v>1</v>
      </c>
      <c r="T98" s="18" t="s">
        <v>84</v>
      </c>
      <c r="U98" s="13" t="s">
        <v>688</v>
      </c>
      <c r="V98" s="13" t="s">
        <v>95</v>
      </c>
      <c r="W98" s="19" t="s">
        <v>96</v>
      </c>
    </row>
    <row r="99" spans="1:23" ht="30">
      <c r="A99" s="13" t="s">
        <v>689</v>
      </c>
      <c r="B99" s="13" t="s">
        <v>690</v>
      </c>
      <c r="C99" s="13" t="s">
        <v>691</v>
      </c>
      <c r="D99" s="13" t="s">
        <v>692</v>
      </c>
      <c r="E99" s="13" t="s">
        <v>693</v>
      </c>
      <c r="F99" s="13" t="s">
        <v>59</v>
      </c>
      <c r="G99" s="14">
        <v>0</v>
      </c>
      <c r="H99" s="14">
        <v>5</v>
      </c>
      <c r="I99" s="14">
        <v>40</v>
      </c>
      <c r="J99" s="13" t="s">
        <v>91</v>
      </c>
      <c r="K99" s="14">
        <v>0</v>
      </c>
      <c r="L99" s="14">
        <v>1.5</v>
      </c>
      <c r="M99" s="14">
        <v>12</v>
      </c>
      <c r="N99" s="18" t="s">
        <v>92</v>
      </c>
      <c r="O99" s="13" t="s">
        <v>62</v>
      </c>
      <c r="P99" s="13" t="s">
        <v>526</v>
      </c>
      <c r="Q99" s="13" t="s">
        <v>694</v>
      </c>
      <c r="R99" s="13" t="b">
        <f>TRUE()</f>
        <v>1</v>
      </c>
      <c r="S99" s="13" t="b">
        <f>TRUE()</f>
        <v>1</v>
      </c>
      <c r="T99" s="18" t="s">
        <v>84</v>
      </c>
      <c r="U99" s="13" t="s">
        <v>695</v>
      </c>
      <c r="V99" s="13" t="s">
        <v>95</v>
      </c>
      <c r="W99" s="19" t="s">
        <v>96</v>
      </c>
    </row>
    <row r="100" spans="1:23">
      <c r="A100" s="13" t="s">
        <v>696</v>
      </c>
      <c r="B100" s="13" t="s">
        <v>697</v>
      </c>
      <c r="C100" s="13" t="s">
        <v>698</v>
      </c>
      <c r="D100" s="13" t="s">
        <v>672</v>
      </c>
      <c r="E100" s="13" t="s">
        <v>699</v>
      </c>
      <c r="F100" s="13" t="s">
        <v>59</v>
      </c>
      <c r="G100" s="14">
        <v>5</v>
      </c>
      <c r="H100" s="14">
        <v>50</v>
      </c>
      <c r="I100" s="14">
        <v>150</v>
      </c>
      <c r="J100" s="13" t="s">
        <v>91</v>
      </c>
      <c r="K100" s="14">
        <v>1.5</v>
      </c>
      <c r="L100" s="14">
        <v>15</v>
      </c>
      <c r="M100" s="14">
        <v>45</v>
      </c>
      <c r="N100" s="15" t="s">
        <v>61</v>
      </c>
      <c r="O100" s="13" t="s">
        <v>62</v>
      </c>
      <c r="P100" s="13" t="s">
        <v>700</v>
      </c>
      <c r="Q100" s="13" t="s">
        <v>701</v>
      </c>
      <c r="R100" s="13" t="b">
        <f>TRUE()</f>
        <v>1</v>
      </c>
      <c r="S100" s="13" t="b">
        <f>TRUE()</f>
        <v>1</v>
      </c>
      <c r="T100" s="23" t="s">
        <v>126</v>
      </c>
      <c r="U100" s="13" t="s">
        <v>702</v>
      </c>
      <c r="V100" s="13" t="s">
        <v>95</v>
      </c>
      <c r="W100" s="19" t="s">
        <v>96</v>
      </c>
    </row>
    <row r="101" spans="1:23">
      <c r="A101" s="13" t="s">
        <v>703</v>
      </c>
      <c r="B101" s="13" t="s">
        <v>704</v>
      </c>
      <c r="C101" s="13" t="s">
        <v>705</v>
      </c>
      <c r="D101" s="13" t="s">
        <v>706</v>
      </c>
      <c r="E101" s="13" t="s">
        <v>707</v>
      </c>
      <c r="F101" s="13" t="s">
        <v>59</v>
      </c>
      <c r="G101" s="14">
        <v>5</v>
      </c>
      <c r="H101" s="14">
        <v>45</v>
      </c>
      <c r="I101" s="14">
        <v>130</v>
      </c>
      <c r="J101" s="13" t="s">
        <v>91</v>
      </c>
      <c r="K101" s="14">
        <v>1.5</v>
      </c>
      <c r="L101" s="14">
        <v>13.5</v>
      </c>
      <c r="M101" s="14">
        <v>39</v>
      </c>
      <c r="N101" s="15" t="s">
        <v>61</v>
      </c>
      <c r="O101" s="13" t="s">
        <v>62</v>
      </c>
      <c r="P101" s="13" t="s">
        <v>700</v>
      </c>
      <c r="Q101" s="13" t="s">
        <v>708</v>
      </c>
      <c r="R101" s="13" t="b">
        <f>TRUE()</f>
        <v>1</v>
      </c>
      <c r="S101" s="13" t="b">
        <f>TRUE()</f>
        <v>1</v>
      </c>
      <c r="T101" s="23" t="s">
        <v>126</v>
      </c>
      <c r="U101" s="13" t="s">
        <v>709</v>
      </c>
      <c r="V101" s="13" t="s">
        <v>95</v>
      </c>
      <c r="W101" s="19" t="s">
        <v>96</v>
      </c>
    </row>
    <row r="102" spans="1:23">
      <c r="A102" s="13" t="s">
        <v>710</v>
      </c>
      <c r="B102" s="13" t="s">
        <v>711</v>
      </c>
      <c r="C102" s="13" t="s">
        <v>712</v>
      </c>
      <c r="D102" s="13" t="s">
        <v>713</v>
      </c>
      <c r="E102" s="13" t="s">
        <v>707</v>
      </c>
      <c r="F102" s="13" t="s">
        <v>59</v>
      </c>
      <c r="G102" s="14">
        <v>5</v>
      </c>
      <c r="H102" s="14">
        <v>40</v>
      </c>
      <c r="I102" s="14">
        <v>120</v>
      </c>
      <c r="J102" s="13" t="s">
        <v>91</v>
      </c>
      <c r="K102" s="14">
        <v>1.5</v>
      </c>
      <c r="L102" s="14">
        <v>12</v>
      </c>
      <c r="M102" s="14">
        <v>36</v>
      </c>
      <c r="N102" s="18" t="s">
        <v>92</v>
      </c>
      <c r="O102" s="13" t="s">
        <v>62</v>
      </c>
      <c r="P102" s="13" t="s">
        <v>700</v>
      </c>
      <c r="Q102" s="13" t="s">
        <v>714</v>
      </c>
      <c r="R102" s="13" t="b">
        <f>TRUE()</f>
        <v>1</v>
      </c>
      <c r="S102" s="13" t="b">
        <f>TRUE()</f>
        <v>1</v>
      </c>
      <c r="T102" s="23" t="s">
        <v>126</v>
      </c>
      <c r="U102" s="13" t="s">
        <v>715</v>
      </c>
      <c r="V102" s="13" t="s">
        <v>95</v>
      </c>
      <c r="W102" s="19" t="s">
        <v>96</v>
      </c>
    </row>
    <row r="103" spans="1:23">
      <c r="A103" s="13" t="s">
        <v>716</v>
      </c>
      <c r="B103" s="13" t="s">
        <v>717</v>
      </c>
      <c r="C103" s="13" t="s">
        <v>718</v>
      </c>
      <c r="D103" s="13" t="s">
        <v>600</v>
      </c>
      <c r="E103" s="13" t="s">
        <v>719</v>
      </c>
      <c r="F103" s="13" t="s">
        <v>59</v>
      </c>
      <c r="G103" s="14">
        <v>3</v>
      </c>
      <c r="H103" s="14">
        <v>20</v>
      </c>
      <c r="I103" s="14">
        <v>80</v>
      </c>
      <c r="J103" s="13" t="s">
        <v>91</v>
      </c>
      <c r="K103" s="14">
        <v>0.9</v>
      </c>
      <c r="L103" s="14">
        <v>6</v>
      </c>
      <c r="M103" s="14">
        <v>24</v>
      </c>
      <c r="N103" s="18" t="s">
        <v>92</v>
      </c>
      <c r="O103" s="13" t="s">
        <v>62</v>
      </c>
      <c r="P103" s="13" t="s">
        <v>700</v>
      </c>
      <c r="Q103" s="13" t="s">
        <v>720</v>
      </c>
      <c r="R103" s="13" t="b">
        <f>TRUE()</f>
        <v>1</v>
      </c>
      <c r="S103" s="13" t="b">
        <f>TRUE()</f>
        <v>1</v>
      </c>
      <c r="T103" s="23" t="s">
        <v>126</v>
      </c>
      <c r="U103" s="13" t="s">
        <v>721</v>
      </c>
      <c r="V103" s="13" t="s">
        <v>95</v>
      </c>
      <c r="W103" s="19" t="s">
        <v>96</v>
      </c>
    </row>
    <row r="104" spans="1:23">
      <c r="A104" s="13" t="s">
        <v>722</v>
      </c>
      <c r="B104" s="13" t="s">
        <v>723</v>
      </c>
      <c r="C104" s="13" t="s">
        <v>724</v>
      </c>
      <c r="D104" s="13" t="s">
        <v>713</v>
      </c>
      <c r="E104" s="13" t="s">
        <v>707</v>
      </c>
      <c r="F104" s="13" t="s">
        <v>59</v>
      </c>
      <c r="G104" s="14">
        <v>3</v>
      </c>
      <c r="H104" s="14">
        <v>25</v>
      </c>
      <c r="I104" s="14">
        <v>90</v>
      </c>
      <c r="J104" s="13" t="s">
        <v>91</v>
      </c>
      <c r="K104" s="14">
        <v>0.9</v>
      </c>
      <c r="L104" s="14">
        <v>7.5</v>
      </c>
      <c r="M104" s="14">
        <v>27</v>
      </c>
      <c r="N104" s="18" t="s">
        <v>92</v>
      </c>
      <c r="O104" s="13" t="s">
        <v>62</v>
      </c>
      <c r="P104" s="13" t="s">
        <v>700</v>
      </c>
      <c r="Q104" s="13" t="s">
        <v>725</v>
      </c>
      <c r="R104" s="13" t="b">
        <f>TRUE()</f>
        <v>1</v>
      </c>
      <c r="S104" s="13" t="b">
        <f>TRUE()</f>
        <v>1</v>
      </c>
      <c r="T104" s="23" t="s">
        <v>126</v>
      </c>
      <c r="U104" s="13" t="s">
        <v>726</v>
      </c>
      <c r="V104" s="13" t="s">
        <v>95</v>
      </c>
      <c r="W104" s="19" t="s">
        <v>96</v>
      </c>
    </row>
    <row r="105" spans="1:23">
      <c r="A105" s="13" t="s">
        <v>727</v>
      </c>
      <c r="B105" s="13" t="s">
        <v>728</v>
      </c>
      <c r="C105" s="13" t="s">
        <v>729</v>
      </c>
      <c r="D105" s="13" t="s">
        <v>692</v>
      </c>
      <c r="E105" s="13" t="s">
        <v>699</v>
      </c>
      <c r="F105" s="13" t="s">
        <v>59</v>
      </c>
      <c r="G105" s="14">
        <v>5</v>
      </c>
      <c r="H105" s="14">
        <v>40</v>
      </c>
      <c r="I105" s="14">
        <v>120</v>
      </c>
      <c r="J105" s="13" t="s">
        <v>91</v>
      </c>
      <c r="K105" s="14">
        <v>1.5</v>
      </c>
      <c r="L105" s="14">
        <v>12</v>
      </c>
      <c r="M105" s="14">
        <v>36</v>
      </c>
      <c r="N105" s="18" t="s">
        <v>92</v>
      </c>
      <c r="O105" s="13" t="s">
        <v>62</v>
      </c>
      <c r="P105" s="13" t="s">
        <v>700</v>
      </c>
      <c r="Q105" s="13" t="s">
        <v>730</v>
      </c>
      <c r="R105" s="13" t="b">
        <f>TRUE()</f>
        <v>1</v>
      </c>
      <c r="S105" s="13" t="b">
        <f>TRUE()</f>
        <v>1</v>
      </c>
      <c r="T105" s="23" t="s">
        <v>126</v>
      </c>
      <c r="U105" s="13" t="s">
        <v>731</v>
      </c>
      <c r="V105" s="13" t="s">
        <v>95</v>
      </c>
      <c r="W105" s="19" t="s">
        <v>96</v>
      </c>
    </row>
    <row r="106" spans="1:23" ht="30">
      <c r="A106" s="13" t="s">
        <v>732</v>
      </c>
      <c r="B106" s="13" t="s">
        <v>733</v>
      </c>
      <c r="C106" s="13" t="s">
        <v>734</v>
      </c>
      <c r="D106" s="13" t="s">
        <v>735</v>
      </c>
      <c r="E106" s="13" t="s">
        <v>736</v>
      </c>
      <c r="F106" s="13" t="s">
        <v>59</v>
      </c>
      <c r="G106" s="14">
        <v>50</v>
      </c>
      <c r="H106" s="14">
        <v>200</v>
      </c>
      <c r="I106" s="14">
        <v>800</v>
      </c>
      <c r="J106" s="13" t="s">
        <v>91</v>
      </c>
      <c r="K106" s="14">
        <v>15</v>
      </c>
      <c r="L106" s="14">
        <v>60</v>
      </c>
      <c r="M106" s="14">
        <v>240</v>
      </c>
      <c r="N106" s="22" t="s">
        <v>123</v>
      </c>
      <c r="O106" s="13" t="s">
        <v>62</v>
      </c>
      <c r="P106" s="13" t="s">
        <v>640</v>
      </c>
      <c r="Q106" s="13" t="s">
        <v>737</v>
      </c>
      <c r="R106" s="13" t="b">
        <f>TRUE()</f>
        <v>1</v>
      </c>
      <c r="S106" s="13" t="b">
        <f>TRUE()</f>
        <v>1</v>
      </c>
      <c r="T106" s="23" t="s">
        <v>126</v>
      </c>
      <c r="U106" s="13" t="s">
        <v>738</v>
      </c>
      <c r="V106" s="13" t="s">
        <v>95</v>
      </c>
      <c r="W106" s="19" t="s">
        <v>96</v>
      </c>
    </row>
    <row r="107" spans="1:23">
      <c r="A107" s="13" t="s">
        <v>739</v>
      </c>
      <c r="B107" s="13" t="s">
        <v>740</v>
      </c>
      <c r="C107" s="13" t="s">
        <v>741</v>
      </c>
      <c r="D107" s="13" t="s">
        <v>742</v>
      </c>
      <c r="E107" s="13" t="s">
        <v>743</v>
      </c>
      <c r="F107" s="13" t="s">
        <v>59</v>
      </c>
      <c r="G107" s="14">
        <v>30</v>
      </c>
      <c r="H107" s="14">
        <v>150</v>
      </c>
      <c r="I107" s="14">
        <v>420</v>
      </c>
      <c r="J107" s="13" t="s">
        <v>91</v>
      </c>
      <c r="K107" s="14">
        <v>9</v>
      </c>
      <c r="L107" s="14">
        <v>45</v>
      </c>
      <c r="M107" s="14">
        <v>126</v>
      </c>
      <c r="N107" s="22" t="s">
        <v>123</v>
      </c>
      <c r="O107" s="13" t="s">
        <v>62</v>
      </c>
      <c r="P107" s="13" t="s">
        <v>640</v>
      </c>
      <c r="Q107" s="13" t="s">
        <v>744</v>
      </c>
      <c r="R107" s="13" t="b">
        <f>TRUE()</f>
        <v>1</v>
      </c>
      <c r="S107" s="13" t="b">
        <f>TRUE()</f>
        <v>1</v>
      </c>
      <c r="T107" s="23" t="s">
        <v>126</v>
      </c>
      <c r="U107" s="13" t="s">
        <v>745</v>
      </c>
      <c r="V107" s="13" t="s">
        <v>95</v>
      </c>
      <c r="W107" s="19" t="s">
        <v>96</v>
      </c>
    </row>
    <row r="108" spans="1:23">
      <c r="A108" s="13" t="s">
        <v>746</v>
      </c>
      <c r="B108" s="13" t="s">
        <v>747</v>
      </c>
      <c r="C108" s="13" t="s">
        <v>748</v>
      </c>
      <c r="D108" s="13" t="s">
        <v>114</v>
      </c>
      <c r="E108" s="13" t="s">
        <v>749</v>
      </c>
      <c r="F108" s="13" t="s">
        <v>59</v>
      </c>
      <c r="G108" s="14">
        <v>20</v>
      </c>
      <c r="H108" s="14">
        <v>80</v>
      </c>
      <c r="I108" s="14">
        <v>250</v>
      </c>
      <c r="J108" s="13" t="s">
        <v>91</v>
      </c>
      <c r="K108" s="14">
        <v>6</v>
      </c>
      <c r="L108" s="14">
        <v>24</v>
      </c>
      <c r="M108" s="14">
        <v>75</v>
      </c>
      <c r="N108" s="15" t="s">
        <v>61</v>
      </c>
      <c r="O108" s="13" t="s">
        <v>62</v>
      </c>
      <c r="P108" s="13" t="s">
        <v>640</v>
      </c>
      <c r="Q108" s="13" t="s">
        <v>750</v>
      </c>
      <c r="R108" s="13" t="b">
        <f>TRUE()</f>
        <v>1</v>
      </c>
      <c r="S108" s="13" t="b">
        <f>TRUE()</f>
        <v>1</v>
      </c>
      <c r="T108" s="23" t="s">
        <v>126</v>
      </c>
      <c r="U108" s="13" t="s">
        <v>751</v>
      </c>
      <c r="V108" s="13" t="s">
        <v>95</v>
      </c>
      <c r="W108" s="19" t="s">
        <v>96</v>
      </c>
    </row>
    <row r="109" spans="1:23">
      <c r="A109" s="13" t="s">
        <v>752</v>
      </c>
      <c r="B109" s="13" t="s">
        <v>753</v>
      </c>
      <c r="C109" s="13" t="s">
        <v>754</v>
      </c>
      <c r="D109" s="13" t="s">
        <v>114</v>
      </c>
      <c r="E109" s="13" t="s">
        <v>755</v>
      </c>
      <c r="F109" s="13" t="s">
        <v>59</v>
      </c>
      <c r="G109" s="14">
        <v>50</v>
      </c>
      <c r="H109" s="14">
        <v>200</v>
      </c>
      <c r="I109" s="14">
        <v>500</v>
      </c>
      <c r="J109" s="13" t="s">
        <v>91</v>
      </c>
      <c r="K109" s="14">
        <v>15</v>
      </c>
      <c r="L109" s="14">
        <v>60</v>
      </c>
      <c r="M109" s="14">
        <v>150</v>
      </c>
      <c r="N109" s="15" t="s">
        <v>61</v>
      </c>
      <c r="O109" s="13" t="s">
        <v>62</v>
      </c>
      <c r="P109" s="13" t="s">
        <v>640</v>
      </c>
      <c r="Q109" s="13" t="s">
        <v>756</v>
      </c>
      <c r="R109" s="13" t="b">
        <f>TRUE()</f>
        <v>1</v>
      </c>
      <c r="S109" s="13" t="b">
        <f>TRUE()</f>
        <v>1</v>
      </c>
      <c r="T109" s="23" t="s">
        <v>126</v>
      </c>
      <c r="U109" s="13" t="s">
        <v>757</v>
      </c>
      <c r="V109" s="13" t="s">
        <v>95</v>
      </c>
      <c r="W109" s="19" t="s">
        <v>96</v>
      </c>
    </row>
    <row r="110" spans="1:23" ht="30">
      <c r="A110" s="13" t="s">
        <v>758</v>
      </c>
      <c r="B110" s="13" t="s">
        <v>759</v>
      </c>
      <c r="C110" s="13" t="s">
        <v>760</v>
      </c>
      <c r="D110" s="13" t="s">
        <v>761</v>
      </c>
      <c r="E110" s="13" t="s">
        <v>762</v>
      </c>
      <c r="F110" s="13" t="s">
        <v>59</v>
      </c>
      <c r="G110" s="14">
        <v>100</v>
      </c>
      <c r="H110" s="14">
        <v>400</v>
      </c>
      <c r="I110" s="14">
        <v>800</v>
      </c>
      <c r="J110" s="13" t="s">
        <v>91</v>
      </c>
      <c r="K110" s="14">
        <v>30</v>
      </c>
      <c r="L110" s="14">
        <v>120</v>
      </c>
      <c r="M110" s="14">
        <v>240</v>
      </c>
      <c r="N110" s="22" t="s">
        <v>123</v>
      </c>
      <c r="O110" s="13" t="s">
        <v>62</v>
      </c>
      <c r="P110" s="13" t="s">
        <v>763</v>
      </c>
      <c r="Q110" s="13" t="s">
        <v>764</v>
      </c>
      <c r="R110" s="13" t="b">
        <f>TRUE()</f>
        <v>1</v>
      </c>
      <c r="S110" s="13" t="b">
        <f>TRUE()</f>
        <v>1</v>
      </c>
      <c r="T110" s="23" t="s">
        <v>126</v>
      </c>
      <c r="U110" s="13" t="s">
        <v>765</v>
      </c>
      <c r="V110" s="13" t="s">
        <v>95</v>
      </c>
      <c r="W110" s="19" t="s">
        <v>96</v>
      </c>
    </row>
    <row r="111" spans="1:23" ht="30">
      <c r="A111" s="13" t="s">
        <v>766</v>
      </c>
      <c r="B111" s="13" t="s">
        <v>767</v>
      </c>
      <c r="C111" s="13" t="s">
        <v>768</v>
      </c>
      <c r="D111" s="13" t="s">
        <v>769</v>
      </c>
      <c r="E111" s="13" t="s">
        <v>58</v>
      </c>
      <c r="F111" s="13" t="s">
        <v>59</v>
      </c>
      <c r="G111" s="14">
        <v>0</v>
      </c>
      <c r="H111" s="14">
        <v>0.5</v>
      </c>
      <c r="I111" s="14">
        <v>2</v>
      </c>
      <c r="J111" s="13" t="s">
        <v>91</v>
      </c>
      <c r="K111" s="14">
        <v>0</v>
      </c>
      <c r="L111" s="14">
        <v>0.15</v>
      </c>
      <c r="M111" s="14">
        <v>0.6</v>
      </c>
      <c r="N111" s="18" t="s">
        <v>92</v>
      </c>
      <c r="O111" s="13" t="s">
        <v>562</v>
      </c>
      <c r="P111" s="13" t="s">
        <v>526</v>
      </c>
      <c r="Q111" s="13" t="s">
        <v>770</v>
      </c>
      <c r="R111" s="13" t="b">
        <f>FALSE()</f>
        <v>0</v>
      </c>
      <c r="S111" s="13" t="b">
        <f>FALSE()</f>
        <v>0</v>
      </c>
      <c r="T111" s="16" t="s">
        <v>65</v>
      </c>
      <c r="U111" s="13" t="s">
        <v>771</v>
      </c>
      <c r="V111" s="13" t="s">
        <v>66</v>
      </c>
      <c r="W111" s="20" t="s">
        <v>103</v>
      </c>
    </row>
    <row r="112" spans="1:23" ht="30">
      <c r="A112" s="13" t="s">
        <v>772</v>
      </c>
      <c r="B112" s="13" t="s">
        <v>773</v>
      </c>
      <c r="C112" s="13" t="s">
        <v>774</v>
      </c>
      <c r="D112" s="13" t="s">
        <v>769</v>
      </c>
      <c r="E112" s="13" t="s">
        <v>775</v>
      </c>
      <c r="F112" s="13" t="s">
        <v>59</v>
      </c>
      <c r="G112" s="14">
        <v>0</v>
      </c>
      <c r="H112" s="14">
        <v>0.5</v>
      </c>
      <c r="I112" s="14">
        <v>3</v>
      </c>
      <c r="J112" s="13" t="s">
        <v>91</v>
      </c>
      <c r="K112" s="14">
        <v>0</v>
      </c>
      <c r="L112" s="14">
        <v>0.15</v>
      </c>
      <c r="M112" s="14">
        <v>0.9</v>
      </c>
      <c r="N112" s="18" t="s">
        <v>92</v>
      </c>
      <c r="O112" s="13" t="s">
        <v>562</v>
      </c>
      <c r="P112" s="13" t="s">
        <v>526</v>
      </c>
      <c r="Q112" s="13" t="s">
        <v>776</v>
      </c>
      <c r="R112" s="13" t="b">
        <f>FALSE()</f>
        <v>0</v>
      </c>
      <c r="S112" s="13" t="b">
        <f>FALSE()</f>
        <v>0</v>
      </c>
      <c r="T112" s="16" t="s">
        <v>65</v>
      </c>
      <c r="U112" s="13" t="s">
        <v>777</v>
      </c>
      <c r="V112" s="13" t="s">
        <v>66</v>
      </c>
      <c r="W112" s="20" t="s">
        <v>103</v>
      </c>
    </row>
    <row r="113" spans="1:23" ht="30">
      <c r="A113" s="13" t="s">
        <v>778</v>
      </c>
      <c r="B113" s="13" t="s">
        <v>779</v>
      </c>
      <c r="C113" s="13" t="s">
        <v>780</v>
      </c>
      <c r="D113" s="13" t="s">
        <v>769</v>
      </c>
      <c r="E113" s="13" t="s">
        <v>781</v>
      </c>
      <c r="F113" s="13" t="s">
        <v>59</v>
      </c>
      <c r="G113" s="14">
        <v>10</v>
      </c>
      <c r="H113" s="14">
        <v>40</v>
      </c>
      <c r="I113" s="14">
        <v>120</v>
      </c>
      <c r="J113" s="13" t="s">
        <v>116</v>
      </c>
      <c r="K113" s="14">
        <v>2</v>
      </c>
      <c r="L113" s="14">
        <v>8</v>
      </c>
      <c r="M113" s="14">
        <v>24</v>
      </c>
      <c r="N113" s="24" t="s">
        <v>140</v>
      </c>
      <c r="O113" s="13" t="s">
        <v>562</v>
      </c>
      <c r="P113" s="13" t="s">
        <v>526</v>
      </c>
      <c r="Q113" s="13" t="s">
        <v>782</v>
      </c>
      <c r="R113" s="13" t="b">
        <f>TRUE()</f>
        <v>1</v>
      </c>
      <c r="S113" s="13" t="b">
        <f>TRUE()</f>
        <v>1</v>
      </c>
      <c r="T113" s="23" t="s">
        <v>126</v>
      </c>
      <c r="U113" s="13" t="s">
        <v>783</v>
      </c>
      <c r="V113" s="13" t="s">
        <v>95</v>
      </c>
      <c r="W113" s="19" t="s">
        <v>96</v>
      </c>
    </row>
    <row r="114" spans="1:23" ht="30">
      <c r="A114" s="13" t="s">
        <v>784</v>
      </c>
      <c r="B114" s="13" t="s">
        <v>785</v>
      </c>
      <c r="C114" s="13" t="s">
        <v>786</v>
      </c>
      <c r="D114" s="13" t="s">
        <v>769</v>
      </c>
      <c r="E114" s="13" t="s">
        <v>787</v>
      </c>
      <c r="F114" s="13" t="s">
        <v>59</v>
      </c>
      <c r="G114" s="14">
        <v>3</v>
      </c>
      <c r="H114" s="14">
        <v>15</v>
      </c>
      <c r="I114" s="14">
        <v>50</v>
      </c>
      <c r="J114" s="13" t="s">
        <v>91</v>
      </c>
      <c r="K114" s="14">
        <v>0.9</v>
      </c>
      <c r="L114" s="14">
        <v>4.5</v>
      </c>
      <c r="M114" s="14">
        <v>15</v>
      </c>
      <c r="N114" s="24" t="s">
        <v>140</v>
      </c>
      <c r="O114" s="13" t="s">
        <v>562</v>
      </c>
      <c r="P114" s="13" t="s">
        <v>526</v>
      </c>
      <c r="Q114" s="13" t="s">
        <v>788</v>
      </c>
      <c r="R114" s="13" t="b">
        <f>TRUE()</f>
        <v>1</v>
      </c>
      <c r="S114" s="13" t="b">
        <f>TRUE()</f>
        <v>1</v>
      </c>
      <c r="T114" s="18" t="s">
        <v>84</v>
      </c>
      <c r="U114" s="13" t="s">
        <v>789</v>
      </c>
      <c r="V114" s="13" t="s">
        <v>95</v>
      </c>
      <c r="W114" s="21" t="s">
        <v>110</v>
      </c>
    </row>
    <row r="115" spans="1:23" ht="30">
      <c r="A115" s="13" t="s">
        <v>790</v>
      </c>
      <c r="B115" s="13" t="s">
        <v>791</v>
      </c>
      <c r="C115" s="13" t="s">
        <v>792</v>
      </c>
      <c r="D115" s="13" t="s">
        <v>769</v>
      </c>
      <c r="E115" s="13" t="s">
        <v>58</v>
      </c>
      <c r="F115" s="13" t="s">
        <v>59</v>
      </c>
      <c r="G115" s="14">
        <v>0</v>
      </c>
      <c r="H115" s="14">
        <v>0.3</v>
      </c>
      <c r="I115" s="14">
        <v>1.5</v>
      </c>
      <c r="J115" s="13" t="s">
        <v>91</v>
      </c>
      <c r="K115" s="14">
        <v>0</v>
      </c>
      <c r="L115" s="14">
        <v>0.09</v>
      </c>
      <c r="M115" s="14">
        <v>0.45</v>
      </c>
      <c r="N115" s="18" t="s">
        <v>92</v>
      </c>
      <c r="O115" s="13" t="s">
        <v>562</v>
      </c>
      <c r="P115" s="13" t="s">
        <v>526</v>
      </c>
      <c r="Q115" s="13" t="s">
        <v>793</v>
      </c>
      <c r="R115" s="13" t="b">
        <f>FALSE()</f>
        <v>0</v>
      </c>
      <c r="S115" s="13" t="b">
        <f>FALSE()</f>
        <v>0</v>
      </c>
      <c r="T115" s="16" t="s">
        <v>65</v>
      </c>
      <c r="U115" s="13" t="s">
        <v>794</v>
      </c>
      <c r="V115" s="13" t="s">
        <v>66</v>
      </c>
      <c r="W115" s="20" t="s">
        <v>103</v>
      </c>
    </row>
    <row r="116" spans="1:23" ht="30">
      <c r="A116" s="13" t="s">
        <v>795</v>
      </c>
      <c r="B116" s="13" t="s">
        <v>796</v>
      </c>
      <c r="C116" s="13" t="s">
        <v>797</v>
      </c>
      <c r="D116" s="13" t="s">
        <v>798</v>
      </c>
      <c r="E116" s="13" t="s">
        <v>799</v>
      </c>
      <c r="F116" s="13" t="s">
        <v>59</v>
      </c>
      <c r="G116" s="14">
        <v>0</v>
      </c>
      <c r="H116" s="14">
        <v>0.3</v>
      </c>
      <c r="I116" s="14">
        <v>1</v>
      </c>
      <c r="J116" s="13" t="s">
        <v>91</v>
      </c>
      <c r="K116" s="14">
        <v>0</v>
      </c>
      <c r="L116" s="14">
        <v>0.09</v>
      </c>
      <c r="M116" s="14">
        <v>0.3</v>
      </c>
      <c r="N116" s="18" t="s">
        <v>92</v>
      </c>
      <c r="O116" s="13" t="s">
        <v>562</v>
      </c>
      <c r="P116" s="13" t="s">
        <v>526</v>
      </c>
      <c r="Q116" s="13" t="s">
        <v>800</v>
      </c>
      <c r="R116" s="13" t="b">
        <f>FALSE()</f>
        <v>0</v>
      </c>
      <c r="S116" s="13" t="b">
        <f>FALSE()</f>
        <v>0</v>
      </c>
      <c r="T116" s="16" t="s">
        <v>65</v>
      </c>
      <c r="U116" s="13" t="s">
        <v>801</v>
      </c>
      <c r="V116" s="13" t="s">
        <v>66</v>
      </c>
      <c r="W116" s="20" t="s">
        <v>103</v>
      </c>
    </row>
    <row r="117" spans="1:23" ht="30">
      <c r="A117" s="13" t="s">
        <v>802</v>
      </c>
      <c r="B117" s="13" t="s">
        <v>803</v>
      </c>
      <c r="C117" s="13" t="s">
        <v>804</v>
      </c>
      <c r="D117" s="13" t="s">
        <v>805</v>
      </c>
      <c r="E117" s="13" t="s">
        <v>58</v>
      </c>
      <c r="F117" s="13" t="s">
        <v>59</v>
      </c>
      <c r="G117" s="14">
        <v>0</v>
      </c>
      <c r="H117" s="14">
        <v>0.5</v>
      </c>
      <c r="I117" s="14">
        <v>2</v>
      </c>
      <c r="J117" s="13" t="s">
        <v>91</v>
      </c>
      <c r="K117" s="14">
        <v>0</v>
      </c>
      <c r="L117" s="14">
        <v>0.15</v>
      </c>
      <c r="M117" s="14">
        <v>0.6</v>
      </c>
      <c r="N117" s="18" t="s">
        <v>92</v>
      </c>
      <c r="O117" s="13" t="s">
        <v>562</v>
      </c>
      <c r="P117" s="13" t="s">
        <v>526</v>
      </c>
      <c r="Q117" s="13" t="s">
        <v>806</v>
      </c>
      <c r="R117" s="13" t="b">
        <f>FALSE()</f>
        <v>0</v>
      </c>
      <c r="S117" s="13" t="b">
        <f>FALSE()</f>
        <v>0</v>
      </c>
      <c r="T117" s="16" t="s">
        <v>65</v>
      </c>
      <c r="U117" s="13" t="s">
        <v>807</v>
      </c>
      <c r="V117" s="13" t="s">
        <v>66</v>
      </c>
      <c r="W117" s="20" t="s">
        <v>103</v>
      </c>
    </row>
    <row r="118" spans="1:23" ht="30">
      <c r="A118" s="13" t="s">
        <v>808</v>
      </c>
      <c r="B118" s="13" t="s">
        <v>809</v>
      </c>
      <c r="C118" s="13" t="s">
        <v>810</v>
      </c>
      <c r="D118" s="13" t="s">
        <v>811</v>
      </c>
      <c r="E118" s="13" t="s">
        <v>812</v>
      </c>
      <c r="F118" s="13" t="s">
        <v>59</v>
      </c>
      <c r="G118" s="14">
        <v>2</v>
      </c>
      <c r="H118" s="14">
        <v>10</v>
      </c>
      <c r="I118" s="14">
        <v>40</v>
      </c>
      <c r="J118" s="13" t="s">
        <v>91</v>
      </c>
      <c r="K118" s="14">
        <v>0.6</v>
      </c>
      <c r="L118" s="14">
        <v>3</v>
      </c>
      <c r="M118" s="14">
        <v>12</v>
      </c>
      <c r="N118" s="24" t="s">
        <v>140</v>
      </c>
      <c r="O118" s="13" t="s">
        <v>562</v>
      </c>
      <c r="P118" s="13" t="s">
        <v>526</v>
      </c>
      <c r="Q118" s="13" t="s">
        <v>813</v>
      </c>
      <c r="R118" s="13" t="b">
        <f>TRUE()</f>
        <v>1</v>
      </c>
      <c r="S118" s="13" t="b">
        <f>TRUE()</f>
        <v>1</v>
      </c>
      <c r="T118" s="18" t="s">
        <v>84</v>
      </c>
      <c r="U118" s="13" t="s">
        <v>814</v>
      </c>
      <c r="V118" s="13" t="s">
        <v>95</v>
      </c>
      <c r="W118" s="19" t="s">
        <v>96</v>
      </c>
    </row>
    <row r="119" spans="1:23" ht="30">
      <c r="A119" s="13" t="s">
        <v>815</v>
      </c>
      <c r="B119" s="13" t="s">
        <v>816</v>
      </c>
      <c r="C119" s="13" t="s">
        <v>817</v>
      </c>
      <c r="D119" s="13" t="s">
        <v>818</v>
      </c>
      <c r="E119" s="13" t="s">
        <v>819</v>
      </c>
      <c r="F119" s="13" t="s">
        <v>59</v>
      </c>
      <c r="G119" s="14">
        <v>20</v>
      </c>
      <c r="H119" s="14">
        <v>60</v>
      </c>
      <c r="I119" s="14">
        <v>200</v>
      </c>
      <c r="J119" s="13" t="s">
        <v>91</v>
      </c>
      <c r="K119" s="14">
        <v>6</v>
      </c>
      <c r="L119" s="14">
        <v>18</v>
      </c>
      <c r="M119" s="14">
        <v>60</v>
      </c>
      <c r="N119" s="24" t="s">
        <v>140</v>
      </c>
      <c r="O119" s="13" t="s">
        <v>562</v>
      </c>
      <c r="P119" s="13" t="s">
        <v>526</v>
      </c>
      <c r="Q119" s="13" t="s">
        <v>820</v>
      </c>
      <c r="R119" s="13" t="b">
        <f>TRUE()</f>
        <v>1</v>
      </c>
      <c r="S119" s="13" t="b">
        <f>TRUE()</f>
        <v>1</v>
      </c>
      <c r="T119" s="23" t="s">
        <v>126</v>
      </c>
      <c r="U119" s="13" t="s">
        <v>821</v>
      </c>
      <c r="V119" s="13" t="s">
        <v>95</v>
      </c>
      <c r="W119" s="19" t="s">
        <v>96</v>
      </c>
    </row>
    <row r="120" spans="1:23" ht="30">
      <c r="A120" s="13" t="s">
        <v>822</v>
      </c>
      <c r="B120" s="13" t="s">
        <v>823</v>
      </c>
      <c r="C120" s="13" t="s">
        <v>824</v>
      </c>
      <c r="D120" s="13" t="s">
        <v>825</v>
      </c>
      <c r="E120" s="13" t="s">
        <v>826</v>
      </c>
      <c r="F120" s="13" t="s">
        <v>59</v>
      </c>
      <c r="G120" s="14">
        <v>30</v>
      </c>
      <c r="H120" s="14">
        <v>100</v>
      </c>
      <c r="I120" s="14">
        <v>400</v>
      </c>
      <c r="J120" s="13" t="s">
        <v>91</v>
      </c>
      <c r="K120" s="14">
        <v>9</v>
      </c>
      <c r="L120" s="14">
        <v>30</v>
      </c>
      <c r="M120" s="14">
        <v>120</v>
      </c>
      <c r="N120" s="24" t="s">
        <v>140</v>
      </c>
      <c r="O120" s="13" t="s">
        <v>562</v>
      </c>
      <c r="P120" s="13" t="s">
        <v>526</v>
      </c>
      <c r="Q120" s="13" t="s">
        <v>827</v>
      </c>
      <c r="R120" s="13" t="b">
        <f>TRUE()</f>
        <v>1</v>
      </c>
      <c r="S120" s="13" t="b">
        <f>TRUE()</f>
        <v>1</v>
      </c>
      <c r="T120" s="23" t="s">
        <v>126</v>
      </c>
      <c r="U120" s="13" t="s">
        <v>828</v>
      </c>
      <c r="V120" s="13" t="s">
        <v>95</v>
      </c>
      <c r="W120" s="19" t="s">
        <v>96</v>
      </c>
    </row>
    <row r="121" spans="1:23" ht="30">
      <c r="A121" s="13" t="s">
        <v>829</v>
      </c>
      <c r="B121" s="13" t="s">
        <v>830</v>
      </c>
      <c r="C121" s="13" t="s">
        <v>831</v>
      </c>
      <c r="D121" s="13" t="s">
        <v>832</v>
      </c>
      <c r="E121" s="13" t="s">
        <v>833</v>
      </c>
      <c r="F121" s="13" t="s">
        <v>59</v>
      </c>
      <c r="G121" s="14">
        <v>3</v>
      </c>
      <c r="H121" s="14">
        <v>15</v>
      </c>
      <c r="I121" s="14">
        <v>60</v>
      </c>
      <c r="J121" s="13" t="s">
        <v>91</v>
      </c>
      <c r="K121" s="14">
        <v>0.9</v>
      </c>
      <c r="L121" s="14">
        <v>4.5</v>
      </c>
      <c r="M121" s="14">
        <v>18</v>
      </c>
      <c r="N121" s="24" t="s">
        <v>140</v>
      </c>
      <c r="O121" s="13" t="s">
        <v>562</v>
      </c>
      <c r="P121" s="13" t="s">
        <v>526</v>
      </c>
      <c r="Q121" s="13" t="s">
        <v>834</v>
      </c>
      <c r="R121" s="13" t="b">
        <f>TRUE()</f>
        <v>1</v>
      </c>
      <c r="S121" s="13" t="b">
        <f>TRUE()</f>
        <v>1</v>
      </c>
      <c r="T121" s="18" t="s">
        <v>84</v>
      </c>
      <c r="U121" s="13" t="s">
        <v>835</v>
      </c>
      <c r="V121" s="13" t="s">
        <v>95</v>
      </c>
      <c r="W121" s="21" t="s">
        <v>110</v>
      </c>
    </row>
    <row r="122" spans="1:23" ht="30">
      <c r="A122" s="13" t="s">
        <v>836</v>
      </c>
      <c r="B122" s="13" t="s">
        <v>837</v>
      </c>
      <c r="C122" s="13" t="s">
        <v>838</v>
      </c>
      <c r="D122" s="13" t="s">
        <v>839</v>
      </c>
      <c r="E122" s="13" t="s">
        <v>840</v>
      </c>
      <c r="F122" s="13" t="s">
        <v>59</v>
      </c>
      <c r="G122" s="14">
        <v>10</v>
      </c>
      <c r="H122" s="14">
        <v>40</v>
      </c>
      <c r="I122" s="14">
        <v>120</v>
      </c>
      <c r="J122" s="13" t="s">
        <v>91</v>
      </c>
      <c r="K122" s="14">
        <v>3</v>
      </c>
      <c r="L122" s="14">
        <v>12</v>
      </c>
      <c r="M122" s="14">
        <v>36</v>
      </c>
      <c r="N122" s="24" t="s">
        <v>140</v>
      </c>
      <c r="O122" s="13" t="s">
        <v>562</v>
      </c>
      <c r="P122" s="13" t="s">
        <v>526</v>
      </c>
      <c r="Q122" s="13" t="s">
        <v>841</v>
      </c>
      <c r="R122" s="13" t="b">
        <f>TRUE()</f>
        <v>1</v>
      </c>
      <c r="S122" s="13" t="b">
        <f>TRUE()</f>
        <v>1</v>
      </c>
      <c r="T122" s="23" t="s">
        <v>126</v>
      </c>
      <c r="U122" s="13" t="s">
        <v>842</v>
      </c>
      <c r="V122" s="13" t="s">
        <v>95</v>
      </c>
      <c r="W122" s="19" t="s">
        <v>96</v>
      </c>
    </row>
    <row r="123" spans="1:23" ht="30">
      <c r="A123" s="13" t="s">
        <v>843</v>
      </c>
      <c r="B123" s="13" t="s">
        <v>844</v>
      </c>
      <c r="C123" s="13" t="s">
        <v>845</v>
      </c>
      <c r="D123" s="13" t="s">
        <v>839</v>
      </c>
      <c r="E123" s="13" t="s">
        <v>846</v>
      </c>
      <c r="F123" s="13" t="s">
        <v>59</v>
      </c>
      <c r="G123" s="14">
        <v>20</v>
      </c>
      <c r="H123" s="14">
        <v>60</v>
      </c>
      <c r="I123" s="14">
        <v>200</v>
      </c>
      <c r="J123" s="13" t="s">
        <v>91</v>
      </c>
      <c r="K123" s="14">
        <v>6</v>
      </c>
      <c r="L123" s="14">
        <v>18</v>
      </c>
      <c r="M123" s="14">
        <v>60</v>
      </c>
      <c r="N123" s="24" t="s">
        <v>140</v>
      </c>
      <c r="O123" s="13" t="s">
        <v>562</v>
      </c>
      <c r="P123" s="13" t="s">
        <v>526</v>
      </c>
      <c r="Q123" s="13" t="s">
        <v>847</v>
      </c>
      <c r="R123" s="13" t="b">
        <f>TRUE()</f>
        <v>1</v>
      </c>
      <c r="S123" s="13" t="b">
        <f>TRUE()</f>
        <v>1</v>
      </c>
      <c r="T123" s="23" t="s">
        <v>126</v>
      </c>
      <c r="U123" s="13" t="s">
        <v>848</v>
      </c>
      <c r="V123" s="13" t="s">
        <v>95</v>
      </c>
      <c r="W123" s="19" t="s">
        <v>96</v>
      </c>
    </row>
    <row r="124" spans="1:23">
      <c r="A124" s="13" t="s">
        <v>849</v>
      </c>
      <c r="B124" s="13" t="s">
        <v>850</v>
      </c>
      <c r="C124" s="13" t="s">
        <v>851</v>
      </c>
      <c r="D124" s="13" t="s">
        <v>852</v>
      </c>
      <c r="E124" s="13" t="s">
        <v>853</v>
      </c>
      <c r="F124" s="13" t="s">
        <v>59</v>
      </c>
      <c r="G124" s="14">
        <v>30</v>
      </c>
      <c r="H124" s="14">
        <v>100</v>
      </c>
      <c r="I124" s="14">
        <v>350</v>
      </c>
      <c r="J124" s="13" t="s">
        <v>91</v>
      </c>
      <c r="K124" s="14">
        <v>9</v>
      </c>
      <c r="L124" s="14">
        <v>30</v>
      </c>
      <c r="M124" s="14">
        <v>105</v>
      </c>
      <c r="N124" s="18" t="s">
        <v>92</v>
      </c>
      <c r="O124" s="13" t="s">
        <v>562</v>
      </c>
      <c r="P124" s="13" t="s">
        <v>854</v>
      </c>
      <c r="Q124" s="13" t="s">
        <v>855</v>
      </c>
      <c r="R124" s="13" t="b">
        <f>TRUE()</f>
        <v>1</v>
      </c>
      <c r="S124" s="13" t="b">
        <f>TRUE()</f>
        <v>1</v>
      </c>
      <c r="T124" s="23" t="s">
        <v>126</v>
      </c>
      <c r="U124" s="13" t="s">
        <v>856</v>
      </c>
      <c r="V124" s="13" t="s">
        <v>95</v>
      </c>
      <c r="W124" s="19" t="s">
        <v>96</v>
      </c>
    </row>
    <row r="125" spans="1:23" ht="30">
      <c r="A125" s="13" t="s">
        <v>857</v>
      </c>
      <c r="B125" s="13" t="s">
        <v>858</v>
      </c>
      <c r="C125" s="13" t="s">
        <v>859</v>
      </c>
      <c r="D125" s="13" t="s">
        <v>860</v>
      </c>
      <c r="E125" s="13" t="s">
        <v>861</v>
      </c>
      <c r="F125" s="13" t="s">
        <v>59</v>
      </c>
      <c r="G125" s="14">
        <v>0</v>
      </c>
      <c r="H125" s="14">
        <v>0.5</v>
      </c>
      <c r="I125" s="14">
        <v>2</v>
      </c>
      <c r="J125" s="13" t="s">
        <v>91</v>
      </c>
      <c r="K125" s="14">
        <v>0</v>
      </c>
      <c r="L125" s="14">
        <v>0.15</v>
      </c>
      <c r="M125" s="14">
        <v>0.6</v>
      </c>
      <c r="N125" s="18" t="s">
        <v>92</v>
      </c>
      <c r="O125" s="13" t="s">
        <v>562</v>
      </c>
      <c r="P125" s="13" t="s">
        <v>526</v>
      </c>
      <c r="Q125" s="13" t="s">
        <v>862</v>
      </c>
      <c r="R125" s="13" t="b">
        <f>FALSE()</f>
        <v>0</v>
      </c>
      <c r="S125" s="13" t="b">
        <f>FALSE()</f>
        <v>0</v>
      </c>
      <c r="T125" s="16" t="s">
        <v>65</v>
      </c>
      <c r="U125" s="13" t="s">
        <v>863</v>
      </c>
      <c r="V125" s="13" t="s">
        <v>66</v>
      </c>
      <c r="W125" s="20" t="s">
        <v>103</v>
      </c>
    </row>
    <row r="126" spans="1:23" ht="30">
      <c r="A126" s="13" t="s">
        <v>864</v>
      </c>
      <c r="B126" s="13" t="s">
        <v>865</v>
      </c>
      <c r="C126" s="13" t="s">
        <v>866</v>
      </c>
      <c r="D126" s="13" t="s">
        <v>867</v>
      </c>
      <c r="E126" s="13" t="s">
        <v>868</v>
      </c>
      <c r="F126" s="13" t="s">
        <v>59</v>
      </c>
      <c r="G126" s="14">
        <v>0</v>
      </c>
      <c r="H126" s="14">
        <v>0.5</v>
      </c>
      <c r="I126" s="14">
        <v>1.5</v>
      </c>
      <c r="J126" s="13" t="s">
        <v>91</v>
      </c>
      <c r="K126" s="14">
        <v>0</v>
      </c>
      <c r="L126" s="14">
        <v>0.15</v>
      </c>
      <c r="M126" s="14">
        <v>0.45</v>
      </c>
      <c r="N126" s="15" t="s">
        <v>61</v>
      </c>
      <c r="O126" s="13" t="s">
        <v>62</v>
      </c>
      <c r="P126" s="13" t="s">
        <v>526</v>
      </c>
      <c r="Q126" s="13" t="s">
        <v>869</v>
      </c>
      <c r="R126" s="13" t="b">
        <f>FALSE()</f>
        <v>0</v>
      </c>
      <c r="S126" s="13" t="b">
        <f>FALSE()</f>
        <v>0</v>
      </c>
      <c r="T126" s="16" t="s">
        <v>65</v>
      </c>
      <c r="U126" s="13" t="s">
        <v>870</v>
      </c>
      <c r="V126" s="13" t="s">
        <v>66</v>
      </c>
      <c r="W126" s="17" t="s">
        <v>67</v>
      </c>
    </row>
    <row r="127" spans="1:23" ht="30">
      <c r="A127" s="13" t="s">
        <v>871</v>
      </c>
      <c r="B127" s="13" t="s">
        <v>872</v>
      </c>
      <c r="C127" s="13" t="s">
        <v>873</v>
      </c>
      <c r="D127" s="13" t="s">
        <v>874</v>
      </c>
      <c r="E127" s="13" t="s">
        <v>875</v>
      </c>
      <c r="F127" s="13" t="s">
        <v>59</v>
      </c>
      <c r="G127" s="14">
        <v>100</v>
      </c>
      <c r="H127" s="14">
        <v>300</v>
      </c>
      <c r="I127" s="14">
        <v>500</v>
      </c>
      <c r="J127" s="13" t="s">
        <v>91</v>
      </c>
      <c r="K127" s="14">
        <v>30</v>
      </c>
      <c r="L127" s="14">
        <v>90</v>
      </c>
      <c r="M127" s="14">
        <v>150</v>
      </c>
      <c r="N127" s="22" t="s">
        <v>123</v>
      </c>
      <c r="O127" s="13" t="s">
        <v>62</v>
      </c>
      <c r="P127" s="13" t="s">
        <v>876</v>
      </c>
      <c r="Q127" s="13" t="s">
        <v>877</v>
      </c>
      <c r="R127" s="13" t="b">
        <f>TRUE()</f>
        <v>1</v>
      </c>
      <c r="S127" s="13" t="b">
        <f>TRUE()</f>
        <v>1</v>
      </c>
      <c r="T127" s="23" t="s">
        <v>126</v>
      </c>
      <c r="U127" s="13" t="s">
        <v>878</v>
      </c>
      <c r="V127" s="13" t="s">
        <v>246</v>
      </c>
      <c r="W127" s="19" t="s">
        <v>96</v>
      </c>
    </row>
    <row r="128" spans="1:23" ht="30">
      <c r="A128" s="13" t="s">
        <v>879</v>
      </c>
      <c r="B128" s="13" t="s">
        <v>880</v>
      </c>
      <c r="C128" s="13" t="s">
        <v>881</v>
      </c>
      <c r="D128" s="13" t="s">
        <v>882</v>
      </c>
      <c r="E128" s="13" t="s">
        <v>883</v>
      </c>
      <c r="F128" s="13" t="s">
        <v>59</v>
      </c>
      <c r="G128" s="14"/>
      <c r="H128" s="14"/>
      <c r="I128" s="14"/>
      <c r="J128" s="13" t="s">
        <v>116</v>
      </c>
      <c r="K128" s="14"/>
      <c r="L128" s="14"/>
      <c r="M128" s="14"/>
      <c r="N128" s="24" t="s">
        <v>140</v>
      </c>
      <c r="O128" s="13" t="s">
        <v>569</v>
      </c>
      <c r="P128" s="13" t="s">
        <v>526</v>
      </c>
      <c r="Q128" s="13" t="s">
        <v>884</v>
      </c>
      <c r="R128" s="13" t="b">
        <f>TRUE()</f>
        <v>1</v>
      </c>
      <c r="S128" s="13" t="b">
        <f>TRUE()</f>
        <v>1</v>
      </c>
      <c r="T128" s="18" t="s">
        <v>84</v>
      </c>
      <c r="U128" s="13" t="s">
        <v>885</v>
      </c>
      <c r="V128" s="13" t="s">
        <v>95</v>
      </c>
      <c r="W128" s="19" t="s">
        <v>96</v>
      </c>
    </row>
    <row r="129" spans="1:23" ht="30">
      <c r="A129" s="13" t="s">
        <v>886</v>
      </c>
      <c r="B129" s="13" t="s">
        <v>887</v>
      </c>
      <c r="C129" s="13" t="s">
        <v>888</v>
      </c>
      <c r="D129" s="13" t="s">
        <v>889</v>
      </c>
      <c r="E129" s="13" t="s">
        <v>890</v>
      </c>
      <c r="F129" s="13" t="s">
        <v>59</v>
      </c>
      <c r="G129" s="14">
        <v>0</v>
      </c>
      <c r="H129" s="14">
        <v>1</v>
      </c>
      <c r="I129" s="14">
        <v>5</v>
      </c>
      <c r="J129" s="13" t="s">
        <v>91</v>
      </c>
      <c r="K129" s="14">
        <v>0</v>
      </c>
      <c r="L129" s="14">
        <v>0.3</v>
      </c>
      <c r="M129" s="14">
        <v>1.5</v>
      </c>
      <c r="N129" s="24" t="s">
        <v>140</v>
      </c>
      <c r="O129" s="13" t="s">
        <v>562</v>
      </c>
      <c r="P129" s="13" t="s">
        <v>526</v>
      </c>
      <c r="Q129" s="13" t="s">
        <v>891</v>
      </c>
      <c r="R129" s="13" t="b">
        <f>TRUE()</f>
        <v>1</v>
      </c>
      <c r="S129" s="13" t="b">
        <f>FALSE()</f>
        <v>0</v>
      </c>
      <c r="T129" s="18" t="s">
        <v>84</v>
      </c>
      <c r="U129" s="13" t="s">
        <v>892</v>
      </c>
      <c r="V129" s="13" t="s">
        <v>66</v>
      </c>
      <c r="W129" s="20" t="s">
        <v>103</v>
      </c>
    </row>
    <row r="130" spans="1:23" ht="30">
      <c r="A130" s="13" t="s">
        <v>893</v>
      </c>
      <c r="B130" s="13" t="s">
        <v>894</v>
      </c>
      <c r="C130" s="13" t="s">
        <v>895</v>
      </c>
      <c r="D130" s="13" t="s">
        <v>896</v>
      </c>
      <c r="E130" s="13" t="s">
        <v>897</v>
      </c>
      <c r="F130" s="13" t="s">
        <v>59</v>
      </c>
      <c r="G130" s="14">
        <v>1</v>
      </c>
      <c r="H130" s="14">
        <v>5</v>
      </c>
      <c r="I130" s="14">
        <v>20</v>
      </c>
      <c r="J130" s="13" t="s">
        <v>91</v>
      </c>
      <c r="K130" s="14">
        <v>0.3</v>
      </c>
      <c r="L130" s="14">
        <v>1.5</v>
      </c>
      <c r="M130" s="14">
        <v>6</v>
      </c>
      <c r="N130" s="24" t="s">
        <v>140</v>
      </c>
      <c r="O130" s="13" t="s">
        <v>562</v>
      </c>
      <c r="P130" s="13" t="s">
        <v>526</v>
      </c>
      <c r="Q130" s="13" t="s">
        <v>898</v>
      </c>
      <c r="R130" s="13" t="b">
        <f>TRUE()</f>
        <v>1</v>
      </c>
      <c r="S130" s="13" t="b">
        <f>FALSE()</f>
        <v>0</v>
      </c>
      <c r="T130" s="18" t="s">
        <v>84</v>
      </c>
      <c r="U130" s="13" t="s">
        <v>899</v>
      </c>
      <c r="V130" s="13" t="s">
        <v>95</v>
      </c>
      <c r="W130" s="19" t="s">
        <v>96</v>
      </c>
    </row>
    <row r="131" spans="1:23" ht="30">
      <c r="A131" s="13" t="s">
        <v>900</v>
      </c>
      <c r="B131" s="13" t="s">
        <v>901</v>
      </c>
      <c r="C131" s="13" t="s">
        <v>902</v>
      </c>
      <c r="D131" s="13" t="s">
        <v>903</v>
      </c>
      <c r="E131" s="13" t="s">
        <v>904</v>
      </c>
      <c r="F131" s="13" t="s">
        <v>80</v>
      </c>
      <c r="G131" s="14">
        <v>0</v>
      </c>
      <c r="H131" s="14">
        <v>1</v>
      </c>
      <c r="I131" s="14">
        <v>5</v>
      </c>
      <c r="J131" s="13" t="s">
        <v>905</v>
      </c>
      <c r="K131" s="14">
        <v>0</v>
      </c>
      <c r="L131" s="14">
        <v>2</v>
      </c>
      <c r="M131" s="14">
        <v>10</v>
      </c>
      <c r="N131" s="18" t="s">
        <v>92</v>
      </c>
      <c r="O131" s="13" t="s">
        <v>562</v>
      </c>
      <c r="P131" s="13" t="s">
        <v>526</v>
      </c>
      <c r="Q131" s="13" t="s">
        <v>906</v>
      </c>
      <c r="R131" s="13" t="b">
        <f>TRUE()</f>
        <v>1</v>
      </c>
      <c r="S131" s="13" t="b">
        <f>FALSE()</f>
        <v>0</v>
      </c>
      <c r="T131" s="18" t="s">
        <v>84</v>
      </c>
      <c r="U131" s="13" t="s">
        <v>907</v>
      </c>
      <c r="V131" s="13" t="s">
        <v>74</v>
      </c>
      <c r="W131" s="20" t="s">
        <v>103</v>
      </c>
    </row>
    <row r="132" spans="1:23" ht="30">
      <c r="A132" s="13" t="s">
        <v>908</v>
      </c>
      <c r="B132" s="13" t="s">
        <v>909</v>
      </c>
      <c r="C132" s="13" t="s">
        <v>910</v>
      </c>
      <c r="D132" s="13" t="s">
        <v>212</v>
      </c>
      <c r="E132" s="13" t="s">
        <v>568</v>
      </c>
      <c r="F132" s="13" t="s">
        <v>80</v>
      </c>
      <c r="G132" s="14">
        <v>0</v>
      </c>
      <c r="H132" s="14">
        <v>1.5</v>
      </c>
      <c r="I132" s="14">
        <v>6</v>
      </c>
      <c r="J132" s="13" t="s">
        <v>905</v>
      </c>
      <c r="K132" s="14">
        <v>0</v>
      </c>
      <c r="L132" s="14">
        <v>3</v>
      </c>
      <c r="M132" s="14">
        <v>12</v>
      </c>
      <c r="N132" s="24" t="s">
        <v>140</v>
      </c>
      <c r="O132" s="13" t="s">
        <v>562</v>
      </c>
      <c r="P132" s="13" t="s">
        <v>526</v>
      </c>
      <c r="Q132" s="13" t="s">
        <v>911</v>
      </c>
      <c r="R132" s="13" t="b">
        <f>TRUE()</f>
        <v>1</v>
      </c>
      <c r="S132" s="13" t="b">
        <f>FALSE()</f>
        <v>0</v>
      </c>
      <c r="T132" s="18" t="s">
        <v>84</v>
      </c>
      <c r="U132" s="13" t="s">
        <v>912</v>
      </c>
      <c r="V132" s="13" t="s">
        <v>74</v>
      </c>
      <c r="W132" s="20" t="s">
        <v>103</v>
      </c>
    </row>
    <row r="133" spans="1:23" ht="30">
      <c r="A133" s="13" t="s">
        <v>913</v>
      </c>
      <c r="B133" s="13" t="s">
        <v>914</v>
      </c>
      <c r="C133" s="13" t="s">
        <v>915</v>
      </c>
      <c r="D133" s="13" t="s">
        <v>916</v>
      </c>
      <c r="E133" s="13" t="s">
        <v>917</v>
      </c>
      <c r="F133" s="13" t="s">
        <v>80</v>
      </c>
      <c r="G133" s="14">
        <v>1</v>
      </c>
      <c r="H133" s="14">
        <v>3</v>
      </c>
      <c r="I133" s="14">
        <v>12</v>
      </c>
      <c r="J133" s="13" t="s">
        <v>905</v>
      </c>
      <c r="K133" s="14">
        <v>2</v>
      </c>
      <c r="L133" s="14">
        <v>6</v>
      </c>
      <c r="M133" s="14">
        <v>24</v>
      </c>
      <c r="N133" s="24" t="s">
        <v>140</v>
      </c>
      <c r="O133" s="13" t="s">
        <v>562</v>
      </c>
      <c r="P133" s="13" t="s">
        <v>526</v>
      </c>
      <c r="Q133" s="13" t="s">
        <v>918</v>
      </c>
      <c r="R133" s="13" t="b">
        <f>TRUE()</f>
        <v>1</v>
      </c>
      <c r="S133" s="13" t="b">
        <f>FALSE()</f>
        <v>0</v>
      </c>
      <c r="T133" s="23" t="s">
        <v>126</v>
      </c>
      <c r="U133" s="13" t="s">
        <v>919</v>
      </c>
      <c r="V133" s="13" t="s">
        <v>74</v>
      </c>
      <c r="W133" s="19" t="s">
        <v>96</v>
      </c>
    </row>
    <row r="134" spans="1:23" ht="30">
      <c r="A134" s="13" t="s">
        <v>920</v>
      </c>
      <c r="B134" s="13" t="s">
        <v>921</v>
      </c>
      <c r="C134" s="13" t="s">
        <v>922</v>
      </c>
      <c r="D134" s="13" t="s">
        <v>923</v>
      </c>
      <c r="E134" s="13" t="s">
        <v>924</v>
      </c>
      <c r="F134" s="13" t="s">
        <v>80</v>
      </c>
      <c r="G134" s="14">
        <v>0</v>
      </c>
      <c r="H134" s="14">
        <v>0.5</v>
      </c>
      <c r="I134" s="14">
        <v>2</v>
      </c>
      <c r="J134" s="13" t="s">
        <v>81</v>
      </c>
      <c r="K134" s="14">
        <v>0</v>
      </c>
      <c r="L134" s="14">
        <v>1.25</v>
      </c>
      <c r="M134" s="14">
        <v>5</v>
      </c>
      <c r="N134" s="18" t="s">
        <v>92</v>
      </c>
      <c r="O134" s="13" t="s">
        <v>562</v>
      </c>
      <c r="P134" s="13" t="s">
        <v>526</v>
      </c>
      <c r="Q134" s="13" t="s">
        <v>925</v>
      </c>
      <c r="R134" s="13" t="b">
        <f>FALSE()</f>
        <v>0</v>
      </c>
      <c r="S134" s="13" t="b">
        <f>FALSE()</f>
        <v>0</v>
      </c>
      <c r="T134" s="16" t="s">
        <v>65</v>
      </c>
      <c r="U134" s="13" t="s">
        <v>926</v>
      </c>
      <c r="V134" s="13" t="s">
        <v>74</v>
      </c>
      <c r="W134" s="20" t="s">
        <v>103</v>
      </c>
    </row>
    <row r="135" spans="1:23" ht="30">
      <c r="A135" s="13" t="s">
        <v>927</v>
      </c>
      <c r="B135" s="13" t="s">
        <v>928</v>
      </c>
      <c r="C135" s="13" t="s">
        <v>929</v>
      </c>
      <c r="D135" s="13" t="s">
        <v>930</v>
      </c>
      <c r="E135" s="13" t="s">
        <v>931</v>
      </c>
      <c r="F135" s="13" t="s">
        <v>80</v>
      </c>
      <c r="G135" s="14">
        <v>0</v>
      </c>
      <c r="H135" s="14">
        <v>0.5</v>
      </c>
      <c r="I135" s="14">
        <v>2</v>
      </c>
      <c r="J135" s="13" t="s">
        <v>81</v>
      </c>
      <c r="K135" s="14">
        <v>0</v>
      </c>
      <c r="L135" s="14">
        <v>1.25</v>
      </c>
      <c r="M135" s="14">
        <v>5</v>
      </c>
      <c r="N135" s="18" t="s">
        <v>92</v>
      </c>
      <c r="O135" s="13" t="s">
        <v>562</v>
      </c>
      <c r="P135" s="13" t="s">
        <v>526</v>
      </c>
      <c r="Q135" s="13" t="s">
        <v>932</v>
      </c>
      <c r="R135" s="13" t="b">
        <f>FALSE()</f>
        <v>0</v>
      </c>
      <c r="S135" s="13" t="b">
        <f>FALSE()</f>
        <v>0</v>
      </c>
      <c r="T135" s="16" t="s">
        <v>65</v>
      </c>
      <c r="U135" s="13" t="s">
        <v>933</v>
      </c>
      <c r="V135" s="13" t="s">
        <v>74</v>
      </c>
      <c r="W135" s="20" t="s">
        <v>103</v>
      </c>
    </row>
    <row r="136" spans="1:23" ht="30">
      <c r="A136" s="13" t="s">
        <v>934</v>
      </c>
      <c r="B136" s="13" t="s">
        <v>935</v>
      </c>
      <c r="C136" s="13" t="s">
        <v>936</v>
      </c>
      <c r="D136" s="13" t="s">
        <v>937</v>
      </c>
      <c r="E136" s="13" t="s">
        <v>938</v>
      </c>
      <c r="F136" s="13" t="s">
        <v>80</v>
      </c>
      <c r="G136" s="14">
        <v>0</v>
      </c>
      <c r="H136" s="14">
        <v>0.3</v>
      </c>
      <c r="I136" s="14">
        <v>1.5</v>
      </c>
      <c r="J136" s="13" t="s">
        <v>147</v>
      </c>
      <c r="K136" s="14">
        <v>0</v>
      </c>
      <c r="L136" s="14">
        <v>0.45</v>
      </c>
      <c r="M136" s="14">
        <v>2.25</v>
      </c>
      <c r="N136" s="15" t="s">
        <v>61</v>
      </c>
      <c r="O136" s="13" t="s">
        <v>62</v>
      </c>
      <c r="P136" s="13" t="s">
        <v>526</v>
      </c>
      <c r="Q136" s="13" t="s">
        <v>939</v>
      </c>
      <c r="R136" s="13" t="b">
        <f>FALSE()</f>
        <v>0</v>
      </c>
      <c r="S136" s="13" t="b">
        <f>FALSE()</f>
        <v>0</v>
      </c>
      <c r="T136" s="16" t="s">
        <v>65</v>
      </c>
      <c r="U136" s="13" t="s">
        <v>940</v>
      </c>
      <c r="V136" s="13" t="s">
        <v>74</v>
      </c>
      <c r="W136" s="17" t="s">
        <v>67</v>
      </c>
    </row>
    <row r="137" spans="1:23" ht="30">
      <c r="A137" s="13" t="s">
        <v>941</v>
      </c>
      <c r="B137" s="13" t="s">
        <v>942</v>
      </c>
      <c r="C137" s="13" t="s">
        <v>943</v>
      </c>
      <c r="D137" s="13" t="s">
        <v>944</v>
      </c>
      <c r="E137" s="13" t="s">
        <v>945</v>
      </c>
      <c r="F137" s="13" t="s">
        <v>80</v>
      </c>
      <c r="G137" s="14">
        <v>0</v>
      </c>
      <c r="H137" s="14">
        <v>0.4</v>
      </c>
      <c r="I137" s="14">
        <v>2</v>
      </c>
      <c r="J137" s="13" t="s">
        <v>147</v>
      </c>
      <c r="K137" s="14">
        <v>0</v>
      </c>
      <c r="L137" s="14">
        <v>0.6</v>
      </c>
      <c r="M137" s="14">
        <v>3</v>
      </c>
      <c r="N137" s="18" t="s">
        <v>92</v>
      </c>
      <c r="O137" s="13" t="s">
        <v>562</v>
      </c>
      <c r="P137" s="13" t="s">
        <v>526</v>
      </c>
      <c r="Q137" s="13" t="s">
        <v>946</v>
      </c>
      <c r="R137" s="13" t="b">
        <f>TRUE()</f>
        <v>1</v>
      </c>
      <c r="S137" s="13" t="b">
        <f>FALSE()</f>
        <v>0</v>
      </c>
      <c r="T137" s="16" t="s">
        <v>65</v>
      </c>
      <c r="U137" s="13" t="s">
        <v>947</v>
      </c>
      <c r="V137" s="13" t="s">
        <v>74</v>
      </c>
      <c r="W137" s="20" t="s">
        <v>103</v>
      </c>
    </row>
    <row r="138" spans="1:23" ht="30">
      <c r="A138" s="13" t="s">
        <v>948</v>
      </c>
      <c r="B138" s="13" t="s">
        <v>949</v>
      </c>
      <c r="C138" s="13" t="s">
        <v>950</v>
      </c>
      <c r="D138" s="13" t="s">
        <v>951</v>
      </c>
      <c r="E138" s="13" t="s">
        <v>952</v>
      </c>
      <c r="F138" s="13" t="s">
        <v>80</v>
      </c>
      <c r="G138" s="14">
        <v>0</v>
      </c>
      <c r="H138" s="14">
        <v>0.3</v>
      </c>
      <c r="I138" s="14">
        <v>1</v>
      </c>
      <c r="J138" s="13" t="s">
        <v>147</v>
      </c>
      <c r="K138" s="14">
        <v>0</v>
      </c>
      <c r="L138" s="14">
        <v>0.45</v>
      </c>
      <c r="M138" s="14">
        <v>1.5</v>
      </c>
      <c r="N138" s="18" t="s">
        <v>92</v>
      </c>
      <c r="O138" s="13" t="s">
        <v>562</v>
      </c>
      <c r="P138" s="13" t="s">
        <v>526</v>
      </c>
      <c r="Q138" s="13" t="s">
        <v>953</v>
      </c>
      <c r="R138" s="13" t="b">
        <f>FALSE()</f>
        <v>0</v>
      </c>
      <c r="S138" s="13" t="b">
        <f>FALSE()</f>
        <v>0</v>
      </c>
      <c r="T138" s="16" t="s">
        <v>65</v>
      </c>
      <c r="U138" s="13" t="s">
        <v>954</v>
      </c>
      <c r="V138" s="13" t="s">
        <v>74</v>
      </c>
      <c r="W138" s="20" t="s">
        <v>103</v>
      </c>
    </row>
    <row r="139" spans="1:23" ht="30">
      <c r="A139" s="13" t="s">
        <v>955</v>
      </c>
      <c r="B139" s="13" t="s">
        <v>956</v>
      </c>
      <c r="C139" s="13" t="s">
        <v>957</v>
      </c>
      <c r="D139" s="13" t="s">
        <v>958</v>
      </c>
      <c r="E139" s="13" t="s">
        <v>959</v>
      </c>
      <c r="F139" s="13" t="s">
        <v>80</v>
      </c>
      <c r="G139" s="14">
        <v>0</v>
      </c>
      <c r="H139" s="14">
        <v>0.5</v>
      </c>
      <c r="I139" s="14">
        <v>2</v>
      </c>
      <c r="J139" s="13" t="s">
        <v>905</v>
      </c>
      <c r="K139" s="14">
        <v>0</v>
      </c>
      <c r="L139" s="14">
        <v>1</v>
      </c>
      <c r="M139" s="14">
        <v>4</v>
      </c>
      <c r="N139" s="24" t="s">
        <v>140</v>
      </c>
      <c r="O139" s="13" t="s">
        <v>562</v>
      </c>
      <c r="P139" s="13" t="s">
        <v>526</v>
      </c>
      <c r="Q139" s="13" t="s">
        <v>960</v>
      </c>
      <c r="R139" s="13" t="b">
        <f>FALSE()</f>
        <v>0</v>
      </c>
      <c r="S139" s="13" t="b">
        <f>FALSE()</f>
        <v>0</v>
      </c>
      <c r="T139" s="16" t="s">
        <v>65</v>
      </c>
      <c r="U139" s="13" t="s">
        <v>961</v>
      </c>
      <c r="V139" s="13" t="s">
        <v>74</v>
      </c>
      <c r="W139" s="20" t="s">
        <v>103</v>
      </c>
    </row>
    <row r="140" spans="1:23" ht="30">
      <c r="A140" s="13" t="s">
        <v>962</v>
      </c>
      <c r="B140" s="13" t="s">
        <v>963</v>
      </c>
      <c r="C140" s="13" t="s">
        <v>964</v>
      </c>
      <c r="D140" s="13" t="s">
        <v>965</v>
      </c>
      <c r="E140" s="13" t="s">
        <v>966</v>
      </c>
      <c r="F140" s="13" t="s">
        <v>80</v>
      </c>
      <c r="G140" s="14">
        <v>1</v>
      </c>
      <c r="H140" s="14">
        <v>4</v>
      </c>
      <c r="I140" s="14">
        <v>15</v>
      </c>
      <c r="J140" s="13" t="s">
        <v>905</v>
      </c>
      <c r="K140" s="14">
        <v>2</v>
      </c>
      <c r="L140" s="14">
        <v>8</v>
      </c>
      <c r="M140" s="14">
        <v>30</v>
      </c>
      <c r="N140" s="24" t="s">
        <v>140</v>
      </c>
      <c r="O140" s="13" t="s">
        <v>562</v>
      </c>
      <c r="P140" s="13" t="s">
        <v>526</v>
      </c>
      <c r="Q140" s="13" t="s">
        <v>967</v>
      </c>
      <c r="R140" s="13" t="b">
        <f>TRUE()</f>
        <v>1</v>
      </c>
      <c r="S140" s="13" t="b">
        <f>FALSE()</f>
        <v>0</v>
      </c>
      <c r="T140" s="18" t="s">
        <v>84</v>
      </c>
      <c r="U140" s="13" t="s">
        <v>968</v>
      </c>
      <c r="V140" s="13" t="s">
        <v>74</v>
      </c>
      <c r="W140" s="19" t="s">
        <v>96</v>
      </c>
    </row>
    <row r="141" spans="1:23" ht="30">
      <c r="A141" s="13" t="s">
        <v>969</v>
      </c>
      <c r="B141" s="13" t="s">
        <v>970</v>
      </c>
      <c r="C141" s="13" t="s">
        <v>971</v>
      </c>
      <c r="D141" s="13" t="s">
        <v>916</v>
      </c>
      <c r="E141" s="13" t="s">
        <v>972</v>
      </c>
      <c r="F141" s="13" t="s">
        <v>80</v>
      </c>
      <c r="G141" s="14">
        <v>5</v>
      </c>
      <c r="H141" s="14">
        <v>20</v>
      </c>
      <c r="I141" s="14">
        <v>60</v>
      </c>
      <c r="J141" s="13" t="s">
        <v>905</v>
      </c>
      <c r="K141" s="14">
        <v>10</v>
      </c>
      <c r="L141" s="14">
        <v>40</v>
      </c>
      <c r="M141" s="14">
        <v>120</v>
      </c>
      <c r="N141" s="24" t="s">
        <v>140</v>
      </c>
      <c r="O141" s="13" t="s">
        <v>562</v>
      </c>
      <c r="P141" s="13" t="s">
        <v>526</v>
      </c>
      <c r="Q141" s="13" t="s">
        <v>973</v>
      </c>
      <c r="R141" s="13" t="b">
        <f>TRUE()</f>
        <v>1</v>
      </c>
      <c r="S141" s="13" t="b">
        <f>TRUE()</f>
        <v>1</v>
      </c>
      <c r="T141" s="23" t="s">
        <v>126</v>
      </c>
      <c r="U141" s="13" t="s">
        <v>974</v>
      </c>
      <c r="V141" s="13" t="s">
        <v>74</v>
      </c>
      <c r="W141" s="19" t="s">
        <v>96</v>
      </c>
    </row>
    <row r="142" spans="1:23" ht="30">
      <c r="A142" s="13" t="s">
        <v>975</v>
      </c>
      <c r="B142" s="13" t="s">
        <v>976</v>
      </c>
      <c r="C142" s="13" t="s">
        <v>977</v>
      </c>
      <c r="D142" s="13" t="s">
        <v>867</v>
      </c>
      <c r="E142" s="13" t="s">
        <v>978</v>
      </c>
      <c r="F142" s="13" t="s">
        <v>80</v>
      </c>
      <c r="G142" s="14">
        <v>0</v>
      </c>
      <c r="H142" s="14">
        <v>1</v>
      </c>
      <c r="I142" s="14">
        <v>5</v>
      </c>
      <c r="J142" s="13" t="s">
        <v>147</v>
      </c>
      <c r="K142" s="14">
        <v>0</v>
      </c>
      <c r="L142" s="14">
        <v>1.5</v>
      </c>
      <c r="M142" s="14">
        <v>7.5</v>
      </c>
      <c r="N142" s="18" t="s">
        <v>92</v>
      </c>
      <c r="O142" s="13" t="s">
        <v>562</v>
      </c>
      <c r="P142" s="13" t="s">
        <v>526</v>
      </c>
      <c r="Q142" s="13" t="s">
        <v>979</v>
      </c>
      <c r="R142" s="13" t="b">
        <f>TRUE()</f>
        <v>1</v>
      </c>
      <c r="S142" s="13" t="b">
        <f>FALSE()</f>
        <v>0</v>
      </c>
      <c r="T142" s="18" t="s">
        <v>84</v>
      </c>
      <c r="U142" s="13" t="s">
        <v>980</v>
      </c>
      <c r="V142" s="13" t="s">
        <v>74</v>
      </c>
      <c r="W142" s="20" t="s">
        <v>103</v>
      </c>
    </row>
    <row r="143" spans="1:23" ht="30">
      <c r="A143" s="13" t="s">
        <v>981</v>
      </c>
      <c r="B143" s="13" t="s">
        <v>982</v>
      </c>
      <c r="C143" s="13" t="s">
        <v>983</v>
      </c>
      <c r="D143" s="13" t="s">
        <v>114</v>
      </c>
      <c r="E143" s="13" t="s">
        <v>984</v>
      </c>
      <c r="F143" s="13" t="s">
        <v>59</v>
      </c>
      <c r="G143" s="14">
        <v>5</v>
      </c>
      <c r="H143" s="14">
        <v>40</v>
      </c>
      <c r="I143" s="14">
        <v>200</v>
      </c>
      <c r="J143" s="13" t="s">
        <v>91</v>
      </c>
      <c r="K143" s="14">
        <v>1.5</v>
      </c>
      <c r="L143" s="14">
        <v>12</v>
      </c>
      <c r="M143" s="14">
        <v>60</v>
      </c>
      <c r="N143" s="22" t="s">
        <v>123</v>
      </c>
      <c r="O143" s="13" t="s">
        <v>62</v>
      </c>
      <c r="P143" s="13" t="s">
        <v>985</v>
      </c>
      <c r="Q143" s="13" t="s">
        <v>986</v>
      </c>
      <c r="R143" s="13" t="b">
        <f>TRUE()</f>
        <v>1</v>
      </c>
      <c r="S143" s="13" t="b">
        <f>TRUE()</f>
        <v>1</v>
      </c>
      <c r="T143" s="23" t="s">
        <v>126</v>
      </c>
      <c r="U143" s="13" t="s">
        <v>987</v>
      </c>
      <c r="V143" s="13" t="s">
        <v>161</v>
      </c>
      <c r="W143" s="19" t="s">
        <v>96</v>
      </c>
    </row>
    <row r="144" spans="1:23" ht="30">
      <c r="A144" s="13" t="s">
        <v>988</v>
      </c>
      <c r="B144" s="13" t="s">
        <v>989</v>
      </c>
      <c r="C144" s="13" t="s">
        <v>990</v>
      </c>
      <c r="D144" s="13" t="s">
        <v>114</v>
      </c>
      <c r="E144" s="13" t="s">
        <v>991</v>
      </c>
      <c r="F144" s="13" t="s">
        <v>59</v>
      </c>
      <c r="G144" s="14">
        <v>10</v>
      </c>
      <c r="H144" s="14">
        <v>60</v>
      </c>
      <c r="I144" s="14">
        <v>250</v>
      </c>
      <c r="J144" s="13" t="s">
        <v>91</v>
      </c>
      <c r="K144" s="14">
        <v>3</v>
      </c>
      <c r="L144" s="14">
        <v>18</v>
      </c>
      <c r="M144" s="14">
        <v>75</v>
      </c>
      <c r="N144" s="22" t="s">
        <v>123</v>
      </c>
      <c r="O144" s="13" t="s">
        <v>62</v>
      </c>
      <c r="P144" s="13" t="s">
        <v>985</v>
      </c>
      <c r="Q144" s="13" t="s">
        <v>992</v>
      </c>
      <c r="R144" s="13" t="b">
        <f>TRUE()</f>
        <v>1</v>
      </c>
      <c r="S144" s="13" t="b">
        <f>TRUE()</f>
        <v>1</v>
      </c>
      <c r="T144" s="23" t="s">
        <v>126</v>
      </c>
      <c r="U144" s="13" t="s">
        <v>987</v>
      </c>
      <c r="V144" s="13" t="s">
        <v>161</v>
      </c>
      <c r="W144" s="19" t="s">
        <v>96</v>
      </c>
    </row>
    <row r="145" spans="1:23" ht="30">
      <c r="A145" s="13" t="s">
        <v>993</v>
      </c>
      <c r="B145" s="13" t="s">
        <v>994</v>
      </c>
      <c r="C145" s="13" t="s">
        <v>995</v>
      </c>
      <c r="D145" s="13" t="s">
        <v>996</v>
      </c>
      <c r="E145" s="13" t="s">
        <v>997</v>
      </c>
      <c r="F145" s="13" t="s">
        <v>59</v>
      </c>
      <c r="G145" s="14">
        <v>15</v>
      </c>
      <c r="H145" s="14">
        <v>80</v>
      </c>
      <c r="I145" s="14">
        <v>400</v>
      </c>
      <c r="J145" s="13" t="s">
        <v>91</v>
      </c>
      <c r="K145" s="14">
        <v>4.5</v>
      </c>
      <c r="L145" s="14">
        <v>24</v>
      </c>
      <c r="M145" s="14">
        <v>120</v>
      </c>
      <c r="N145" s="15" t="s">
        <v>61</v>
      </c>
      <c r="O145" s="13" t="s">
        <v>62</v>
      </c>
      <c r="P145" s="13" t="s">
        <v>985</v>
      </c>
      <c r="Q145" s="13" t="s">
        <v>998</v>
      </c>
      <c r="R145" s="13" t="b">
        <f>TRUE()</f>
        <v>1</v>
      </c>
      <c r="S145" s="13" t="b">
        <f>TRUE()</f>
        <v>1</v>
      </c>
      <c r="T145" s="23" t="s">
        <v>126</v>
      </c>
      <c r="U145" s="13" t="s">
        <v>987</v>
      </c>
      <c r="V145" s="13" t="s">
        <v>161</v>
      </c>
      <c r="W145" s="19" t="s">
        <v>96</v>
      </c>
    </row>
    <row r="146" spans="1:23" ht="30">
      <c r="A146" s="13" t="s">
        <v>999</v>
      </c>
      <c r="B146" s="13" t="s">
        <v>1000</v>
      </c>
      <c r="C146" s="13" t="s">
        <v>1001</v>
      </c>
      <c r="D146" s="13" t="s">
        <v>1002</v>
      </c>
      <c r="E146" s="13" t="s">
        <v>1003</v>
      </c>
      <c r="F146" s="13" t="s">
        <v>59</v>
      </c>
      <c r="G146" s="14">
        <v>10</v>
      </c>
      <c r="H146" s="14">
        <v>50</v>
      </c>
      <c r="I146" s="14">
        <v>250</v>
      </c>
      <c r="J146" s="13" t="s">
        <v>91</v>
      </c>
      <c r="K146" s="14">
        <v>3</v>
      </c>
      <c r="L146" s="14">
        <v>15</v>
      </c>
      <c r="M146" s="14">
        <v>75</v>
      </c>
      <c r="N146" s="15" t="s">
        <v>61</v>
      </c>
      <c r="O146" s="13" t="s">
        <v>62</v>
      </c>
      <c r="P146" s="13" t="s">
        <v>985</v>
      </c>
      <c r="Q146" s="13" t="s">
        <v>1004</v>
      </c>
      <c r="R146" s="13" t="b">
        <f>TRUE()</f>
        <v>1</v>
      </c>
      <c r="S146" s="13" t="b">
        <f>TRUE()</f>
        <v>1</v>
      </c>
      <c r="T146" s="23" t="s">
        <v>126</v>
      </c>
      <c r="U146" s="13" t="s">
        <v>987</v>
      </c>
      <c r="V146" s="13" t="s">
        <v>161</v>
      </c>
      <c r="W146" s="19" t="s">
        <v>96</v>
      </c>
    </row>
    <row r="147" spans="1:23" ht="30">
      <c r="A147" s="13" t="s">
        <v>1005</v>
      </c>
      <c r="B147" s="13" t="s">
        <v>1006</v>
      </c>
      <c r="C147" s="13" t="s">
        <v>1007</v>
      </c>
      <c r="D147" s="13" t="s">
        <v>1008</v>
      </c>
      <c r="E147" s="13" t="s">
        <v>1009</v>
      </c>
      <c r="F147" s="13" t="s">
        <v>59</v>
      </c>
      <c r="G147" s="14">
        <v>15</v>
      </c>
      <c r="H147" s="14">
        <v>70</v>
      </c>
      <c r="I147" s="14">
        <v>300</v>
      </c>
      <c r="J147" s="13" t="s">
        <v>91</v>
      </c>
      <c r="K147" s="14">
        <v>4.5</v>
      </c>
      <c r="L147" s="14">
        <v>21</v>
      </c>
      <c r="M147" s="14">
        <v>90</v>
      </c>
      <c r="N147" s="18" t="s">
        <v>92</v>
      </c>
      <c r="O147" s="13" t="s">
        <v>562</v>
      </c>
      <c r="P147" s="13" t="s">
        <v>526</v>
      </c>
      <c r="Q147" s="13" t="s">
        <v>1010</v>
      </c>
      <c r="R147" s="13" t="b">
        <f>TRUE()</f>
        <v>1</v>
      </c>
      <c r="S147" s="13" t="b">
        <f>TRUE()</f>
        <v>1</v>
      </c>
      <c r="T147" s="23" t="s">
        <v>126</v>
      </c>
      <c r="U147" s="13" t="s">
        <v>987</v>
      </c>
      <c r="V147" s="13" t="s">
        <v>161</v>
      </c>
      <c r="W147" s="19" t="s">
        <v>96</v>
      </c>
    </row>
    <row r="148" spans="1:23" ht="30">
      <c r="A148" s="13" t="s">
        <v>1011</v>
      </c>
      <c r="B148" s="13" t="s">
        <v>1012</v>
      </c>
      <c r="C148" s="13" t="s">
        <v>1013</v>
      </c>
      <c r="D148" s="13" t="s">
        <v>996</v>
      </c>
      <c r="E148" s="13" t="s">
        <v>1014</v>
      </c>
      <c r="F148" s="13" t="s">
        <v>59</v>
      </c>
      <c r="G148" s="14">
        <v>20</v>
      </c>
      <c r="H148" s="14">
        <v>100</v>
      </c>
      <c r="I148" s="14">
        <v>500</v>
      </c>
      <c r="J148" s="13" t="s">
        <v>1015</v>
      </c>
      <c r="K148" s="14">
        <v>5</v>
      </c>
      <c r="L148" s="14">
        <v>25</v>
      </c>
      <c r="M148" s="14">
        <v>125</v>
      </c>
      <c r="N148" s="18" t="s">
        <v>92</v>
      </c>
      <c r="O148" s="13" t="s">
        <v>562</v>
      </c>
      <c r="P148" s="13" t="s">
        <v>526</v>
      </c>
      <c r="Q148" s="13" t="s">
        <v>1016</v>
      </c>
      <c r="R148" s="13" t="b">
        <f>TRUE()</f>
        <v>1</v>
      </c>
      <c r="S148" s="13" t="b">
        <f>TRUE()</f>
        <v>1</v>
      </c>
      <c r="T148" s="23" t="s">
        <v>126</v>
      </c>
      <c r="U148" s="13" t="s">
        <v>987</v>
      </c>
      <c r="V148" s="13" t="s">
        <v>161</v>
      </c>
      <c r="W148" s="19" t="s">
        <v>96</v>
      </c>
    </row>
    <row r="149" spans="1:23" ht="30">
      <c r="A149" s="13" t="s">
        <v>1017</v>
      </c>
      <c r="B149" s="13" t="s">
        <v>1018</v>
      </c>
      <c r="C149" s="13" t="s">
        <v>1019</v>
      </c>
      <c r="D149" s="13" t="s">
        <v>672</v>
      </c>
      <c r="E149" s="13" t="s">
        <v>1020</v>
      </c>
      <c r="F149" s="13" t="s">
        <v>59</v>
      </c>
      <c r="G149" s="14">
        <v>15</v>
      </c>
      <c r="H149" s="14">
        <v>80</v>
      </c>
      <c r="I149" s="14">
        <v>400</v>
      </c>
      <c r="J149" s="13" t="s">
        <v>91</v>
      </c>
      <c r="K149" s="14">
        <v>4.5</v>
      </c>
      <c r="L149" s="14">
        <v>24</v>
      </c>
      <c r="M149" s="14">
        <v>120</v>
      </c>
      <c r="N149" s="15" t="s">
        <v>61</v>
      </c>
      <c r="O149" s="13" t="s">
        <v>62</v>
      </c>
      <c r="P149" s="13" t="s">
        <v>1021</v>
      </c>
      <c r="Q149" s="13" t="s">
        <v>1022</v>
      </c>
      <c r="R149" s="13" t="b">
        <f>TRUE()</f>
        <v>1</v>
      </c>
      <c r="S149" s="13" t="b">
        <f>TRUE()</f>
        <v>1</v>
      </c>
      <c r="T149" s="23" t="s">
        <v>126</v>
      </c>
      <c r="U149" s="13" t="s">
        <v>987</v>
      </c>
      <c r="V149" s="13" t="s">
        <v>161</v>
      </c>
      <c r="W149" s="19" t="s">
        <v>96</v>
      </c>
    </row>
    <row r="150" spans="1:23" ht="30">
      <c r="A150" s="13" t="s">
        <v>1023</v>
      </c>
      <c r="B150" s="13" t="s">
        <v>1024</v>
      </c>
      <c r="C150" s="13" t="s">
        <v>1025</v>
      </c>
      <c r="D150" s="13" t="s">
        <v>1026</v>
      </c>
      <c r="E150" s="13" t="s">
        <v>1027</v>
      </c>
      <c r="F150" s="13" t="s">
        <v>59</v>
      </c>
      <c r="G150" s="14">
        <v>20</v>
      </c>
      <c r="H150" s="14">
        <v>100</v>
      </c>
      <c r="I150" s="14">
        <v>500</v>
      </c>
      <c r="J150" s="13" t="s">
        <v>91</v>
      </c>
      <c r="K150" s="14">
        <v>6</v>
      </c>
      <c r="L150" s="14">
        <v>30</v>
      </c>
      <c r="M150" s="14">
        <v>150</v>
      </c>
      <c r="N150" s="18" t="s">
        <v>92</v>
      </c>
      <c r="O150" s="13" t="s">
        <v>562</v>
      </c>
      <c r="P150" s="13" t="s">
        <v>526</v>
      </c>
      <c r="Q150" s="13" t="s">
        <v>1028</v>
      </c>
      <c r="R150" s="13" t="b">
        <f>TRUE()</f>
        <v>1</v>
      </c>
      <c r="S150" s="13" t="b">
        <f>TRUE()</f>
        <v>1</v>
      </c>
      <c r="T150" s="23" t="s">
        <v>126</v>
      </c>
      <c r="U150" s="13" t="s">
        <v>987</v>
      </c>
      <c r="V150" s="13" t="s">
        <v>161</v>
      </c>
      <c r="W150" s="19" t="s">
        <v>96</v>
      </c>
    </row>
    <row r="151" spans="1:23" ht="30">
      <c r="A151" s="13" t="s">
        <v>1029</v>
      </c>
      <c r="B151" s="13" t="s">
        <v>1030</v>
      </c>
      <c r="C151" s="13" t="s">
        <v>1031</v>
      </c>
      <c r="D151" s="13" t="s">
        <v>1032</v>
      </c>
      <c r="E151" s="13" t="s">
        <v>1033</v>
      </c>
      <c r="F151" s="13" t="s">
        <v>59</v>
      </c>
      <c r="G151" s="14">
        <v>30</v>
      </c>
      <c r="H151" s="14">
        <v>150</v>
      </c>
      <c r="I151" s="14">
        <v>742</v>
      </c>
      <c r="J151" s="13" t="s">
        <v>91</v>
      </c>
      <c r="K151" s="14">
        <v>9</v>
      </c>
      <c r="L151" s="14">
        <v>45</v>
      </c>
      <c r="M151" s="14">
        <v>222.6</v>
      </c>
      <c r="N151" s="22" t="s">
        <v>123</v>
      </c>
      <c r="O151" s="13" t="s">
        <v>62</v>
      </c>
      <c r="P151" s="13" t="s">
        <v>1021</v>
      </c>
      <c r="Q151" s="13" t="s">
        <v>1034</v>
      </c>
      <c r="R151" s="13" t="b">
        <f>TRUE()</f>
        <v>1</v>
      </c>
      <c r="S151" s="13" t="b">
        <f>TRUE()</f>
        <v>1</v>
      </c>
      <c r="T151" s="23" t="s">
        <v>126</v>
      </c>
      <c r="U151" s="13" t="s">
        <v>987</v>
      </c>
      <c r="V151" s="13" t="s">
        <v>161</v>
      </c>
      <c r="W151" s="19" t="s">
        <v>96</v>
      </c>
    </row>
    <row r="152" spans="1:23" ht="30">
      <c r="A152" s="13" t="s">
        <v>1035</v>
      </c>
      <c r="B152" s="13" t="s">
        <v>1036</v>
      </c>
      <c r="C152" s="13" t="s">
        <v>1037</v>
      </c>
      <c r="D152" s="13" t="s">
        <v>1032</v>
      </c>
      <c r="E152" s="13" t="s">
        <v>1038</v>
      </c>
      <c r="F152" s="13" t="s">
        <v>59</v>
      </c>
      <c r="G152" s="14">
        <v>40</v>
      </c>
      <c r="H152" s="14">
        <v>200</v>
      </c>
      <c r="I152" s="14">
        <v>600</v>
      </c>
      <c r="J152" s="13" t="s">
        <v>91</v>
      </c>
      <c r="K152" s="14">
        <v>12</v>
      </c>
      <c r="L152" s="14">
        <v>60</v>
      </c>
      <c r="M152" s="14">
        <v>180</v>
      </c>
      <c r="N152" s="15" t="s">
        <v>61</v>
      </c>
      <c r="O152" s="13" t="s">
        <v>62</v>
      </c>
      <c r="P152" s="13" t="s">
        <v>1021</v>
      </c>
      <c r="Q152" s="13" t="s">
        <v>1039</v>
      </c>
      <c r="R152" s="13" t="b">
        <f>TRUE()</f>
        <v>1</v>
      </c>
      <c r="S152" s="13" t="b">
        <f>TRUE()</f>
        <v>1</v>
      </c>
      <c r="T152" s="23" t="s">
        <v>126</v>
      </c>
      <c r="U152" s="13" t="s">
        <v>987</v>
      </c>
      <c r="V152" s="13" t="s">
        <v>161</v>
      </c>
      <c r="W152" s="19" t="s">
        <v>96</v>
      </c>
    </row>
    <row r="153" spans="1:23" ht="30">
      <c r="A153" s="13" t="s">
        <v>1040</v>
      </c>
      <c r="B153" s="13" t="s">
        <v>1041</v>
      </c>
      <c r="C153" s="13" t="s">
        <v>1042</v>
      </c>
      <c r="D153" s="13" t="s">
        <v>1032</v>
      </c>
      <c r="E153" s="13" t="s">
        <v>1043</v>
      </c>
      <c r="F153" s="13" t="s">
        <v>59</v>
      </c>
      <c r="G153" s="14">
        <v>20</v>
      </c>
      <c r="H153" s="14">
        <v>100</v>
      </c>
      <c r="I153" s="14">
        <v>400</v>
      </c>
      <c r="J153" s="13" t="s">
        <v>91</v>
      </c>
      <c r="K153" s="14">
        <v>6</v>
      </c>
      <c r="L153" s="14">
        <v>30</v>
      </c>
      <c r="M153" s="14">
        <v>120</v>
      </c>
      <c r="N153" s="15" t="s">
        <v>61</v>
      </c>
      <c r="O153" s="13" t="s">
        <v>62</v>
      </c>
      <c r="P153" s="13" t="s">
        <v>1021</v>
      </c>
      <c r="Q153" s="13" t="s">
        <v>1044</v>
      </c>
      <c r="R153" s="13" t="b">
        <f>TRUE()</f>
        <v>1</v>
      </c>
      <c r="S153" s="13" t="b">
        <f>TRUE()</f>
        <v>1</v>
      </c>
      <c r="T153" s="23" t="s">
        <v>126</v>
      </c>
      <c r="U153" s="13" t="s">
        <v>987</v>
      </c>
      <c r="V153" s="13" t="s">
        <v>161</v>
      </c>
      <c r="W153" s="19" t="s">
        <v>96</v>
      </c>
    </row>
    <row r="154" spans="1:23" ht="30">
      <c r="A154" s="13" t="s">
        <v>1045</v>
      </c>
      <c r="B154" s="13" t="s">
        <v>1046</v>
      </c>
      <c r="C154" s="13" t="s">
        <v>1047</v>
      </c>
      <c r="D154" s="13" t="s">
        <v>1048</v>
      </c>
      <c r="E154" s="13" t="s">
        <v>1049</v>
      </c>
      <c r="F154" s="13" t="s">
        <v>59</v>
      </c>
      <c r="G154" s="14">
        <v>10</v>
      </c>
      <c r="H154" s="14">
        <v>60</v>
      </c>
      <c r="I154" s="14">
        <v>300</v>
      </c>
      <c r="J154" s="13" t="s">
        <v>1015</v>
      </c>
      <c r="K154" s="14">
        <v>2.5</v>
      </c>
      <c r="L154" s="14">
        <v>15</v>
      </c>
      <c r="M154" s="14">
        <v>75</v>
      </c>
      <c r="N154" s="15" t="s">
        <v>61</v>
      </c>
      <c r="O154" s="13" t="s">
        <v>62</v>
      </c>
      <c r="P154" s="13" t="s">
        <v>1021</v>
      </c>
      <c r="Q154" s="13" t="s">
        <v>1050</v>
      </c>
      <c r="R154" s="13" t="b">
        <f>TRUE()</f>
        <v>1</v>
      </c>
      <c r="S154" s="13" t="b">
        <f>TRUE()</f>
        <v>1</v>
      </c>
      <c r="T154" s="23" t="s">
        <v>126</v>
      </c>
      <c r="U154" s="13" t="s">
        <v>987</v>
      </c>
      <c r="V154" s="13" t="s">
        <v>161</v>
      </c>
      <c r="W154" s="19" t="s">
        <v>96</v>
      </c>
    </row>
    <row r="155" spans="1:23" ht="30">
      <c r="A155" s="13" t="s">
        <v>1051</v>
      </c>
      <c r="B155" s="13" t="s">
        <v>1052</v>
      </c>
      <c r="C155" s="13" t="s">
        <v>1053</v>
      </c>
      <c r="D155" s="13" t="s">
        <v>1054</v>
      </c>
      <c r="E155" s="13" t="s">
        <v>1055</v>
      </c>
      <c r="F155" s="13" t="s">
        <v>59</v>
      </c>
      <c r="G155" s="14">
        <v>15</v>
      </c>
      <c r="H155" s="14">
        <v>80</v>
      </c>
      <c r="I155" s="14">
        <v>350</v>
      </c>
      <c r="J155" s="13" t="s">
        <v>1015</v>
      </c>
      <c r="K155" s="14">
        <v>3.75</v>
      </c>
      <c r="L155" s="14">
        <v>20</v>
      </c>
      <c r="M155" s="14">
        <v>87.5</v>
      </c>
      <c r="N155" s="18" t="s">
        <v>92</v>
      </c>
      <c r="O155" s="13" t="s">
        <v>562</v>
      </c>
      <c r="P155" s="13" t="s">
        <v>1021</v>
      </c>
      <c r="Q155" s="13" t="s">
        <v>1056</v>
      </c>
      <c r="R155" s="13" t="b">
        <f>TRUE()</f>
        <v>1</v>
      </c>
      <c r="S155" s="13" t="b">
        <f>TRUE()</f>
        <v>1</v>
      </c>
      <c r="T155" s="23" t="s">
        <v>126</v>
      </c>
      <c r="U155" s="13" t="s">
        <v>987</v>
      </c>
      <c r="V155" s="13" t="s">
        <v>161</v>
      </c>
      <c r="W155" s="19" t="s">
        <v>96</v>
      </c>
    </row>
    <row r="156" spans="1:23" ht="30">
      <c r="A156" s="13" t="s">
        <v>1057</v>
      </c>
      <c r="B156" s="13" t="s">
        <v>1058</v>
      </c>
      <c r="C156" s="13" t="s">
        <v>1059</v>
      </c>
      <c r="D156" s="13" t="s">
        <v>1060</v>
      </c>
      <c r="E156" s="13" t="s">
        <v>1043</v>
      </c>
      <c r="F156" s="13" t="s">
        <v>59</v>
      </c>
      <c r="G156" s="14">
        <v>20</v>
      </c>
      <c r="H156" s="14">
        <v>100</v>
      </c>
      <c r="I156" s="14">
        <v>450</v>
      </c>
      <c r="J156" s="13" t="s">
        <v>91</v>
      </c>
      <c r="K156" s="14">
        <v>6</v>
      </c>
      <c r="L156" s="14">
        <v>30</v>
      </c>
      <c r="M156" s="14">
        <v>135</v>
      </c>
      <c r="N156" s="15" t="s">
        <v>61</v>
      </c>
      <c r="O156" s="13" t="s">
        <v>62</v>
      </c>
      <c r="P156" s="13" t="s">
        <v>1061</v>
      </c>
      <c r="Q156" s="13" t="s">
        <v>1062</v>
      </c>
      <c r="R156" s="13" t="b">
        <f>TRUE()</f>
        <v>1</v>
      </c>
      <c r="S156" s="13" t="b">
        <f>TRUE()</f>
        <v>1</v>
      </c>
      <c r="T156" s="23" t="s">
        <v>126</v>
      </c>
      <c r="U156" s="13" t="s">
        <v>987</v>
      </c>
      <c r="V156" s="13" t="s">
        <v>161</v>
      </c>
      <c r="W156" s="19" t="s">
        <v>96</v>
      </c>
    </row>
    <row r="157" spans="1:23" ht="30">
      <c r="A157" s="13" t="s">
        <v>1063</v>
      </c>
      <c r="B157" s="13" t="s">
        <v>1064</v>
      </c>
      <c r="C157" s="13" t="s">
        <v>1065</v>
      </c>
      <c r="D157" s="13" t="s">
        <v>1066</v>
      </c>
      <c r="E157" s="13" t="s">
        <v>1067</v>
      </c>
      <c r="F157" s="13" t="s">
        <v>59</v>
      </c>
      <c r="G157" s="14">
        <v>30</v>
      </c>
      <c r="H157" s="14">
        <v>150</v>
      </c>
      <c r="I157" s="14">
        <v>700</v>
      </c>
      <c r="J157" s="13" t="s">
        <v>91</v>
      </c>
      <c r="K157" s="14">
        <v>9</v>
      </c>
      <c r="L157" s="14">
        <v>45</v>
      </c>
      <c r="M157" s="14">
        <v>210</v>
      </c>
      <c r="N157" s="22" t="s">
        <v>123</v>
      </c>
      <c r="O157" s="13" t="s">
        <v>62</v>
      </c>
      <c r="P157" s="13" t="s">
        <v>1061</v>
      </c>
      <c r="Q157" s="13" t="s">
        <v>1068</v>
      </c>
      <c r="R157" s="13" t="b">
        <f>TRUE()</f>
        <v>1</v>
      </c>
      <c r="S157" s="13" t="b">
        <f>TRUE()</f>
        <v>1</v>
      </c>
      <c r="T157" s="23" t="s">
        <v>126</v>
      </c>
      <c r="U157" s="13" t="s">
        <v>987</v>
      </c>
      <c r="V157" s="13" t="s">
        <v>161</v>
      </c>
      <c r="W157" s="19" t="s">
        <v>96</v>
      </c>
    </row>
    <row r="158" spans="1:23" ht="30">
      <c r="A158" s="13" t="s">
        <v>1069</v>
      </c>
      <c r="B158" s="13" t="s">
        <v>1070</v>
      </c>
      <c r="C158" s="13" t="s">
        <v>1071</v>
      </c>
      <c r="D158" s="13" t="s">
        <v>1072</v>
      </c>
      <c r="E158" s="13" t="s">
        <v>1073</v>
      </c>
      <c r="F158" s="13" t="s">
        <v>59</v>
      </c>
      <c r="G158" s="14">
        <v>40</v>
      </c>
      <c r="H158" s="14">
        <v>150</v>
      </c>
      <c r="I158" s="14">
        <v>785</v>
      </c>
      <c r="J158" s="13" t="s">
        <v>1015</v>
      </c>
      <c r="K158" s="14">
        <v>10</v>
      </c>
      <c r="L158" s="14">
        <v>37.5</v>
      </c>
      <c r="M158" s="14">
        <v>196.25</v>
      </c>
      <c r="N158" s="22" t="s">
        <v>123</v>
      </c>
      <c r="O158" s="13" t="s">
        <v>62</v>
      </c>
      <c r="P158" s="13" t="s">
        <v>1074</v>
      </c>
      <c r="Q158" s="13" t="s">
        <v>1075</v>
      </c>
      <c r="R158" s="13" t="b">
        <f>TRUE()</f>
        <v>1</v>
      </c>
      <c r="S158" s="13" t="b">
        <f>TRUE()</f>
        <v>1</v>
      </c>
      <c r="T158" s="23" t="s">
        <v>126</v>
      </c>
      <c r="U158" s="13" t="s">
        <v>987</v>
      </c>
      <c r="V158" s="13" t="s">
        <v>161</v>
      </c>
      <c r="W158" s="19" t="s">
        <v>96</v>
      </c>
    </row>
    <row r="159" spans="1:23" ht="30">
      <c r="A159" s="13" t="s">
        <v>1076</v>
      </c>
      <c r="B159" s="13" t="s">
        <v>1077</v>
      </c>
      <c r="C159" s="13" t="s">
        <v>1078</v>
      </c>
      <c r="D159" s="13" t="s">
        <v>1079</v>
      </c>
      <c r="E159" s="13" t="s">
        <v>1080</v>
      </c>
      <c r="F159" s="13" t="s">
        <v>59</v>
      </c>
      <c r="G159" s="14">
        <v>10</v>
      </c>
      <c r="H159" s="14">
        <v>50</v>
      </c>
      <c r="I159" s="14">
        <v>200</v>
      </c>
      <c r="J159" s="13" t="s">
        <v>91</v>
      </c>
      <c r="K159" s="14">
        <v>3</v>
      </c>
      <c r="L159" s="14">
        <v>15</v>
      </c>
      <c r="M159" s="14">
        <v>60</v>
      </c>
      <c r="N159" s="15" t="s">
        <v>61</v>
      </c>
      <c r="O159" s="13" t="s">
        <v>62</v>
      </c>
      <c r="P159" s="13" t="s">
        <v>1074</v>
      </c>
      <c r="Q159" s="13" t="s">
        <v>1081</v>
      </c>
      <c r="R159" s="13" t="b">
        <f>TRUE()</f>
        <v>1</v>
      </c>
      <c r="S159" s="13" t="b">
        <f>TRUE()</f>
        <v>1</v>
      </c>
      <c r="T159" s="23" t="s">
        <v>126</v>
      </c>
      <c r="U159" s="13" t="s">
        <v>987</v>
      </c>
      <c r="V159" s="13" t="s">
        <v>161</v>
      </c>
      <c r="W159" s="19" t="s">
        <v>96</v>
      </c>
    </row>
    <row r="160" spans="1:23" ht="30">
      <c r="A160" s="13" t="s">
        <v>1082</v>
      </c>
      <c r="B160" s="13" t="s">
        <v>1083</v>
      </c>
      <c r="C160" s="13" t="s">
        <v>1084</v>
      </c>
      <c r="D160" s="13" t="s">
        <v>1085</v>
      </c>
      <c r="E160" s="13" t="s">
        <v>1086</v>
      </c>
      <c r="F160" s="13" t="s">
        <v>59</v>
      </c>
      <c r="G160" s="14">
        <v>20</v>
      </c>
      <c r="H160" s="14">
        <v>120</v>
      </c>
      <c r="I160" s="14">
        <v>510</v>
      </c>
      <c r="J160" s="13" t="s">
        <v>91</v>
      </c>
      <c r="K160" s="14">
        <v>6</v>
      </c>
      <c r="L160" s="14">
        <v>36</v>
      </c>
      <c r="M160" s="14">
        <v>153</v>
      </c>
      <c r="N160" s="15" t="s">
        <v>61</v>
      </c>
      <c r="O160" s="13" t="s">
        <v>62</v>
      </c>
      <c r="P160" s="13" t="s">
        <v>353</v>
      </c>
      <c r="Q160" s="13" t="s">
        <v>1087</v>
      </c>
      <c r="R160" s="13" t="b">
        <f>TRUE()</f>
        <v>1</v>
      </c>
      <c r="S160" s="13" t="b">
        <f>TRUE()</f>
        <v>1</v>
      </c>
      <c r="T160" s="23" t="s">
        <v>126</v>
      </c>
      <c r="U160" s="13" t="s">
        <v>987</v>
      </c>
      <c r="V160" s="13" t="s">
        <v>161</v>
      </c>
      <c r="W160" s="19" t="s">
        <v>96</v>
      </c>
    </row>
    <row r="161" spans="1:23" ht="30">
      <c r="A161" s="13" t="s">
        <v>1088</v>
      </c>
      <c r="B161" s="13" t="s">
        <v>1089</v>
      </c>
      <c r="C161" s="13" t="s">
        <v>1090</v>
      </c>
      <c r="D161" s="13" t="s">
        <v>1091</v>
      </c>
      <c r="E161" s="13" t="s">
        <v>1092</v>
      </c>
      <c r="F161" s="13" t="s">
        <v>59</v>
      </c>
      <c r="G161" s="14">
        <v>20</v>
      </c>
      <c r="H161" s="14">
        <v>100</v>
      </c>
      <c r="I161" s="14">
        <v>400</v>
      </c>
      <c r="J161" s="13" t="s">
        <v>91</v>
      </c>
      <c r="K161" s="14">
        <v>6</v>
      </c>
      <c r="L161" s="14">
        <v>30</v>
      </c>
      <c r="M161" s="14">
        <v>120</v>
      </c>
      <c r="N161" s="15" t="s">
        <v>61</v>
      </c>
      <c r="O161" s="13" t="s">
        <v>62</v>
      </c>
      <c r="P161" s="13" t="s">
        <v>1093</v>
      </c>
      <c r="Q161" s="13" t="s">
        <v>1094</v>
      </c>
      <c r="R161" s="13" t="b">
        <f>TRUE()</f>
        <v>1</v>
      </c>
      <c r="S161" s="13" t="b">
        <f>TRUE()</f>
        <v>1</v>
      </c>
      <c r="T161" s="23" t="s">
        <v>126</v>
      </c>
      <c r="U161" s="13" t="s">
        <v>987</v>
      </c>
      <c r="V161" s="13" t="s">
        <v>161</v>
      </c>
      <c r="W161" s="19" t="s">
        <v>96</v>
      </c>
    </row>
    <row r="162" spans="1:23" ht="30">
      <c r="A162" s="13" t="s">
        <v>1095</v>
      </c>
      <c r="B162" s="13" t="s">
        <v>1096</v>
      </c>
      <c r="C162" s="13" t="s">
        <v>1097</v>
      </c>
      <c r="D162" s="13" t="s">
        <v>944</v>
      </c>
      <c r="E162" s="13" t="s">
        <v>1098</v>
      </c>
      <c r="F162" s="13" t="s">
        <v>59</v>
      </c>
      <c r="G162" s="14">
        <v>15</v>
      </c>
      <c r="H162" s="14">
        <v>70</v>
      </c>
      <c r="I162" s="14">
        <v>300</v>
      </c>
      <c r="J162" s="13" t="s">
        <v>91</v>
      </c>
      <c r="K162" s="14">
        <v>4.5</v>
      </c>
      <c r="L162" s="14">
        <v>21</v>
      </c>
      <c r="M162" s="14">
        <v>90</v>
      </c>
      <c r="N162" s="18" t="s">
        <v>92</v>
      </c>
      <c r="O162" s="13" t="s">
        <v>562</v>
      </c>
      <c r="P162" s="13" t="s">
        <v>526</v>
      </c>
      <c r="Q162" s="13" t="s">
        <v>1099</v>
      </c>
      <c r="R162" s="13" t="b">
        <f>TRUE()</f>
        <v>1</v>
      </c>
      <c r="S162" s="13" t="b">
        <f>TRUE()</f>
        <v>1</v>
      </c>
      <c r="T162" s="23" t="s">
        <v>126</v>
      </c>
      <c r="U162" s="13" t="s">
        <v>987</v>
      </c>
      <c r="V162" s="13" t="s">
        <v>161</v>
      </c>
      <c r="W162" s="19" t="s">
        <v>96</v>
      </c>
    </row>
    <row r="163" spans="1:23" ht="30">
      <c r="A163" s="13" t="s">
        <v>1100</v>
      </c>
      <c r="B163" s="13" t="s">
        <v>1101</v>
      </c>
      <c r="C163" s="13" t="s">
        <v>1102</v>
      </c>
      <c r="D163" s="13" t="s">
        <v>114</v>
      </c>
      <c r="E163" s="13" t="s">
        <v>1103</v>
      </c>
      <c r="F163" s="13" t="s">
        <v>59</v>
      </c>
      <c r="G163" s="14">
        <v>5</v>
      </c>
      <c r="H163" s="14">
        <v>25</v>
      </c>
      <c r="I163" s="14">
        <v>80</v>
      </c>
      <c r="J163" s="13" t="s">
        <v>91</v>
      </c>
      <c r="K163" s="14">
        <v>1.5</v>
      </c>
      <c r="L163" s="14">
        <v>7.5</v>
      </c>
      <c r="M163" s="14">
        <v>24</v>
      </c>
      <c r="N163" s="15" t="s">
        <v>61</v>
      </c>
      <c r="O163" s="13" t="s">
        <v>62</v>
      </c>
      <c r="P163" s="13" t="s">
        <v>1104</v>
      </c>
      <c r="Q163" s="13" t="s">
        <v>1105</v>
      </c>
      <c r="R163" s="13" t="b">
        <f>TRUE()</f>
        <v>1</v>
      </c>
      <c r="S163" s="13" t="b">
        <f>TRUE()</f>
        <v>1</v>
      </c>
      <c r="T163" s="18" t="s">
        <v>84</v>
      </c>
      <c r="U163" s="13" t="s">
        <v>1106</v>
      </c>
      <c r="V163" s="13" t="s">
        <v>161</v>
      </c>
      <c r="W163" s="19" t="s">
        <v>96</v>
      </c>
    </row>
    <row r="164" spans="1:23" ht="30">
      <c r="A164" s="13" t="s">
        <v>1107</v>
      </c>
      <c r="B164" s="13" t="s">
        <v>1108</v>
      </c>
      <c r="C164" s="13" t="s">
        <v>1109</v>
      </c>
      <c r="D164" s="13" t="s">
        <v>114</v>
      </c>
      <c r="E164" s="13" t="s">
        <v>1110</v>
      </c>
      <c r="F164" s="13" t="s">
        <v>59</v>
      </c>
      <c r="G164" s="14">
        <v>5</v>
      </c>
      <c r="H164" s="14">
        <v>20</v>
      </c>
      <c r="I164" s="14">
        <v>60</v>
      </c>
      <c r="J164" s="13" t="s">
        <v>91</v>
      </c>
      <c r="K164" s="14">
        <v>1.5</v>
      </c>
      <c r="L164" s="14">
        <v>6</v>
      </c>
      <c r="M164" s="14">
        <v>18</v>
      </c>
      <c r="N164" s="15" t="s">
        <v>61</v>
      </c>
      <c r="O164" s="13" t="s">
        <v>62</v>
      </c>
      <c r="P164" s="13" t="s">
        <v>1104</v>
      </c>
      <c r="Q164" s="13" t="s">
        <v>1111</v>
      </c>
      <c r="R164" s="13" t="b">
        <f>TRUE()</f>
        <v>1</v>
      </c>
      <c r="S164" s="13" t="b">
        <f>TRUE()</f>
        <v>1</v>
      </c>
      <c r="T164" s="18" t="s">
        <v>84</v>
      </c>
      <c r="U164" s="13" t="s">
        <v>1106</v>
      </c>
      <c r="V164" s="13" t="s">
        <v>161</v>
      </c>
      <c r="W164" s="19" t="s">
        <v>96</v>
      </c>
    </row>
    <row r="165" spans="1:23" ht="30">
      <c r="A165" s="13" t="s">
        <v>1112</v>
      </c>
      <c r="B165" s="13" t="s">
        <v>1113</v>
      </c>
      <c r="C165" s="13" t="s">
        <v>1114</v>
      </c>
      <c r="D165" s="13" t="s">
        <v>1115</v>
      </c>
      <c r="E165" s="13" t="s">
        <v>1116</v>
      </c>
      <c r="F165" s="13" t="s">
        <v>59</v>
      </c>
      <c r="G165" s="14">
        <v>10</v>
      </c>
      <c r="H165" s="14">
        <v>40</v>
      </c>
      <c r="I165" s="14">
        <v>120</v>
      </c>
      <c r="J165" s="13" t="s">
        <v>1015</v>
      </c>
      <c r="K165" s="14">
        <v>2.5</v>
      </c>
      <c r="L165" s="14">
        <v>10</v>
      </c>
      <c r="M165" s="14">
        <v>30</v>
      </c>
      <c r="N165" s="15" t="s">
        <v>61</v>
      </c>
      <c r="O165" s="13" t="s">
        <v>62</v>
      </c>
      <c r="P165" s="13" t="s">
        <v>526</v>
      </c>
      <c r="Q165" s="13" t="s">
        <v>1117</v>
      </c>
      <c r="R165" s="13" t="b">
        <f>TRUE()</f>
        <v>1</v>
      </c>
      <c r="S165" s="13" t="b">
        <f>TRUE()</f>
        <v>1</v>
      </c>
      <c r="T165" s="23" t="s">
        <v>126</v>
      </c>
      <c r="U165" s="13" t="s">
        <v>1118</v>
      </c>
      <c r="V165" s="13" t="s">
        <v>161</v>
      </c>
      <c r="W165" s="19" t="s">
        <v>96</v>
      </c>
    </row>
    <row r="166" spans="1:23" ht="30">
      <c r="A166" s="13" t="s">
        <v>1119</v>
      </c>
      <c r="B166" s="13" t="s">
        <v>1120</v>
      </c>
      <c r="C166" s="13" t="s">
        <v>1121</v>
      </c>
      <c r="D166" s="13" t="s">
        <v>1032</v>
      </c>
      <c r="E166" s="13" t="s">
        <v>1122</v>
      </c>
      <c r="F166" s="13" t="s">
        <v>59</v>
      </c>
      <c r="G166" s="14">
        <v>30</v>
      </c>
      <c r="H166" s="14">
        <v>150</v>
      </c>
      <c r="I166" s="14">
        <v>400</v>
      </c>
      <c r="J166" s="13" t="s">
        <v>1015</v>
      </c>
      <c r="K166" s="14">
        <v>7.5</v>
      </c>
      <c r="L166" s="14">
        <v>37.5</v>
      </c>
      <c r="M166" s="14">
        <v>100</v>
      </c>
      <c r="N166" s="15" t="s">
        <v>61</v>
      </c>
      <c r="O166" s="13" t="s">
        <v>62</v>
      </c>
      <c r="P166" s="13" t="s">
        <v>1021</v>
      </c>
      <c r="Q166" s="13" t="s">
        <v>1123</v>
      </c>
      <c r="R166" s="13" t="b">
        <f>TRUE()</f>
        <v>1</v>
      </c>
      <c r="S166" s="13" t="b">
        <f>TRUE()</f>
        <v>1</v>
      </c>
      <c r="T166" s="23" t="s">
        <v>126</v>
      </c>
      <c r="U166" s="13" t="s">
        <v>1124</v>
      </c>
      <c r="V166" s="13" t="s">
        <v>161</v>
      </c>
      <c r="W166" s="19" t="s">
        <v>96</v>
      </c>
    </row>
    <row r="167" spans="1:23" ht="30">
      <c r="A167" s="13" t="s">
        <v>1125</v>
      </c>
      <c r="B167" s="13" t="s">
        <v>1126</v>
      </c>
      <c r="C167" s="13" t="s">
        <v>1127</v>
      </c>
      <c r="D167" s="13" t="s">
        <v>1032</v>
      </c>
      <c r="E167" s="13" t="s">
        <v>1128</v>
      </c>
      <c r="F167" s="13" t="s">
        <v>59</v>
      </c>
      <c r="G167" s="14">
        <v>15</v>
      </c>
      <c r="H167" s="14">
        <v>80</v>
      </c>
      <c r="I167" s="14">
        <v>200</v>
      </c>
      <c r="J167" s="13" t="s">
        <v>1015</v>
      </c>
      <c r="K167" s="14">
        <v>3.75</v>
      </c>
      <c r="L167" s="14">
        <v>20</v>
      </c>
      <c r="M167" s="14">
        <v>50</v>
      </c>
      <c r="N167" s="18" t="s">
        <v>92</v>
      </c>
      <c r="O167" s="13" t="s">
        <v>562</v>
      </c>
      <c r="P167" s="13" t="s">
        <v>1021</v>
      </c>
      <c r="Q167" s="13" t="s">
        <v>1129</v>
      </c>
      <c r="R167" s="13" t="b">
        <f>TRUE()</f>
        <v>1</v>
      </c>
      <c r="S167" s="13" t="b">
        <f>TRUE()</f>
        <v>1</v>
      </c>
      <c r="T167" s="23" t="s">
        <v>126</v>
      </c>
      <c r="U167" s="13" t="s">
        <v>1124</v>
      </c>
      <c r="V167" s="13" t="s">
        <v>161</v>
      </c>
      <c r="W167" s="19" t="s">
        <v>96</v>
      </c>
    </row>
    <row r="168" spans="1:23" ht="30">
      <c r="A168" s="13" t="s">
        <v>1130</v>
      </c>
      <c r="B168" s="13" t="s">
        <v>1131</v>
      </c>
      <c r="C168" s="13" t="s">
        <v>1132</v>
      </c>
      <c r="D168" s="13" t="s">
        <v>1060</v>
      </c>
      <c r="E168" s="13" t="s">
        <v>1133</v>
      </c>
      <c r="F168" s="13" t="s">
        <v>59</v>
      </c>
      <c r="G168" s="14">
        <v>10</v>
      </c>
      <c r="H168" s="14">
        <v>50</v>
      </c>
      <c r="I168" s="14">
        <v>150</v>
      </c>
      <c r="J168" s="13" t="s">
        <v>1015</v>
      </c>
      <c r="K168" s="14">
        <v>2.5</v>
      </c>
      <c r="L168" s="14">
        <v>12.5</v>
      </c>
      <c r="M168" s="14">
        <v>37.5</v>
      </c>
      <c r="N168" s="18" t="s">
        <v>92</v>
      </c>
      <c r="O168" s="13" t="s">
        <v>562</v>
      </c>
      <c r="P168" s="13" t="s">
        <v>526</v>
      </c>
      <c r="Q168" s="13" t="s">
        <v>1134</v>
      </c>
      <c r="R168" s="13" t="b">
        <f>TRUE()</f>
        <v>1</v>
      </c>
      <c r="S168" s="13" t="b">
        <f>TRUE()</f>
        <v>1</v>
      </c>
      <c r="T168" s="18" t="s">
        <v>84</v>
      </c>
      <c r="U168" s="13" t="s">
        <v>1118</v>
      </c>
      <c r="V168" s="13" t="s">
        <v>161</v>
      </c>
      <c r="W168" s="19" t="s">
        <v>96</v>
      </c>
    </row>
    <row r="169" spans="1:23" ht="30">
      <c r="A169" s="13" t="s">
        <v>1135</v>
      </c>
      <c r="B169" s="13" t="s">
        <v>1136</v>
      </c>
      <c r="C169" s="13" t="s">
        <v>374</v>
      </c>
      <c r="D169" s="13" t="s">
        <v>114</v>
      </c>
      <c r="E169" s="13" t="s">
        <v>1137</v>
      </c>
      <c r="F169" s="13" t="s">
        <v>59</v>
      </c>
      <c r="G169" s="14">
        <v>1</v>
      </c>
      <c r="H169" s="14">
        <v>4</v>
      </c>
      <c r="I169" s="14">
        <v>20</v>
      </c>
      <c r="J169" s="13" t="s">
        <v>132</v>
      </c>
      <c r="K169" s="14">
        <v>0.4</v>
      </c>
      <c r="L169" s="14">
        <v>1.6</v>
      </c>
      <c r="M169" s="14">
        <v>8</v>
      </c>
      <c r="N169" s="15" t="s">
        <v>61</v>
      </c>
      <c r="O169" s="13" t="s">
        <v>62</v>
      </c>
      <c r="P169" s="13" t="s">
        <v>526</v>
      </c>
      <c r="Q169" s="13" t="s">
        <v>375</v>
      </c>
      <c r="R169" s="13" t="b">
        <f>TRUE()</f>
        <v>1</v>
      </c>
      <c r="S169" s="13" t="b">
        <f>TRUE()</f>
        <v>1</v>
      </c>
      <c r="T169" s="18" t="s">
        <v>84</v>
      </c>
      <c r="U169" s="13" t="s">
        <v>1118</v>
      </c>
      <c r="V169" s="13" t="s">
        <v>161</v>
      </c>
      <c r="W169" s="20" t="s">
        <v>103</v>
      </c>
    </row>
    <row r="170" spans="1:23" ht="30">
      <c r="A170" s="13" t="s">
        <v>1138</v>
      </c>
      <c r="B170" s="13" t="s">
        <v>1139</v>
      </c>
      <c r="C170" s="13" t="s">
        <v>1140</v>
      </c>
      <c r="D170" s="13" t="s">
        <v>114</v>
      </c>
      <c r="E170" s="13" t="s">
        <v>1141</v>
      </c>
      <c r="F170" s="13" t="s">
        <v>59</v>
      </c>
      <c r="G170" s="14">
        <v>10</v>
      </c>
      <c r="H170" s="14">
        <v>45</v>
      </c>
      <c r="I170" s="14">
        <v>140</v>
      </c>
      <c r="J170" s="13" t="s">
        <v>1015</v>
      </c>
      <c r="K170" s="14">
        <v>2.5</v>
      </c>
      <c r="L170" s="14">
        <v>11.25</v>
      </c>
      <c r="M170" s="14">
        <v>35</v>
      </c>
      <c r="N170" s="18" t="s">
        <v>92</v>
      </c>
      <c r="O170" s="13" t="s">
        <v>562</v>
      </c>
      <c r="P170" s="13" t="s">
        <v>526</v>
      </c>
      <c r="Q170" s="13" t="s">
        <v>1142</v>
      </c>
      <c r="R170" s="13" t="b">
        <f>TRUE()</f>
        <v>1</v>
      </c>
      <c r="S170" s="13" t="b">
        <f>TRUE()</f>
        <v>1</v>
      </c>
      <c r="T170" s="23" t="s">
        <v>126</v>
      </c>
      <c r="U170" s="13" t="s">
        <v>1118</v>
      </c>
      <c r="V170" s="13" t="s">
        <v>161</v>
      </c>
      <c r="W170" s="19" t="s">
        <v>96</v>
      </c>
    </row>
    <row r="171" spans="1:23" ht="30">
      <c r="A171" s="13" t="s">
        <v>1143</v>
      </c>
      <c r="B171" s="13" t="s">
        <v>1144</v>
      </c>
      <c r="C171" s="13" t="s">
        <v>1145</v>
      </c>
      <c r="D171" s="13" t="s">
        <v>114</v>
      </c>
      <c r="E171" s="13" t="s">
        <v>1146</v>
      </c>
      <c r="F171" s="13" t="s">
        <v>59</v>
      </c>
      <c r="G171" s="14">
        <v>3</v>
      </c>
      <c r="H171" s="14">
        <v>15</v>
      </c>
      <c r="I171" s="14">
        <v>60</v>
      </c>
      <c r="J171" s="13" t="s">
        <v>1015</v>
      </c>
      <c r="K171" s="14">
        <v>0.75</v>
      </c>
      <c r="L171" s="14">
        <v>3.75</v>
      </c>
      <c r="M171" s="14">
        <v>15</v>
      </c>
      <c r="N171" s="18" t="s">
        <v>92</v>
      </c>
      <c r="O171" s="13" t="s">
        <v>562</v>
      </c>
      <c r="P171" s="13" t="s">
        <v>526</v>
      </c>
      <c r="Q171" s="13" t="s">
        <v>1147</v>
      </c>
      <c r="R171" s="13" t="b">
        <f>TRUE()</f>
        <v>1</v>
      </c>
      <c r="S171" s="13" t="b">
        <f>TRUE()</f>
        <v>1</v>
      </c>
      <c r="T171" s="18" t="s">
        <v>84</v>
      </c>
      <c r="U171" s="13" t="s">
        <v>1118</v>
      </c>
      <c r="V171" s="13" t="s">
        <v>161</v>
      </c>
      <c r="W171" s="19" t="s">
        <v>96</v>
      </c>
    </row>
    <row r="172" spans="1:23" ht="30">
      <c r="A172" s="13" t="s">
        <v>1148</v>
      </c>
      <c r="B172" s="13" t="s">
        <v>1149</v>
      </c>
      <c r="C172" s="13" t="s">
        <v>1150</v>
      </c>
      <c r="D172" s="13" t="s">
        <v>1032</v>
      </c>
      <c r="E172" s="13" t="s">
        <v>1151</v>
      </c>
      <c r="F172" s="13" t="s">
        <v>59</v>
      </c>
      <c r="G172" s="14">
        <v>5</v>
      </c>
      <c r="H172" s="14">
        <v>25</v>
      </c>
      <c r="I172" s="14">
        <v>80</v>
      </c>
      <c r="J172" s="13" t="s">
        <v>1015</v>
      </c>
      <c r="K172" s="14">
        <v>1.25</v>
      </c>
      <c r="L172" s="14">
        <v>6.25</v>
      </c>
      <c r="M172" s="14">
        <v>20</v>
      </c>
      <c r="N172" s="18" t="s">
        <v>92</v>
      </c>
      <c r="O172" s="13" t="s">
        <v>562</v>
      </c>
      <c r="P172" s="13" t="s">
        <v>1021</v>
      </c>
      <c r="Q172" s="13" t="s">
        <v>1152</v>
      </c>
      <c r="R172" s="13" t="b">
        <f>TRUE()</f>
        <v>1</v>
      </c>
      <c r="S172" s="13" t="b">
        <f>TRUE()</f>
        <v>1</v>
      </c>
      <c r="T172" s="18" t="s">
        <v>84</v>
      </c>
      <c r="U172" s="13" t="s">
        <v>1124</v>
      </c>
      <c r="V172" s="13" t="s">
        <v>161</v>
      </c>
      <c r="W172" s="19" t="s">
        <v>96</v>
      </c>
    </row>
    <row r="173" spans="1:23" ht="30">
      <c r="A173" s="13" t="s">
        <v>1153</v>
      </c>
      <c r="B173" s="13" t="s">
        <v>1154</v>
      </c>
      <c r="C173" s="13" t="s">
        <v>1155</v>
      </c>
      <c r="D173" s="13" t="s">
        <v>1156</v>
      </c>
      <c r="E173" s="13" t="s">
        <v>1157</v>
      </c>
      <c r="F173" s="13" t="s">
        <v>59</v>
      </c>
      <c r="G173" s="14"/>
      <c r="H173" s="14"/>
      <c r="I173" s="14"/>
      <c r="J173" s="13" t="s">
        <v>91</v>
      </c>
      <c r="K173" s="14"/>
      <c r="L173" s="14"/>
      <c r="M173" s="14"/>
      <c r="N173" s="24" t="s">
        <v>140</v>
      </c>
      <c r="O173" s="13" t="s">
        <v>562</v>
      </c>
      <c r="P173" s="13" t="s">
        <v>526</v>
      </c>
      <c r="Q173" s="13" t="s">
        <v>1158</v>
      </c>
      <c r="R173" s="13" t="b">
        <f>TRUE()</f>
        <v>1</v>
      </c>
      <c r="S173" s="13" t="b">
        <f>TRUE()</f>
        <v>1</v>
      </c>
      <c r="T173" s="23" t="s">
        <v>126</v>
      </c>
      <c r="U173" s="13" t="s">
        <v>1159</v>
      </c>
      <c r="V173" s="13" t="s">
        <v>161</v>
      </c>
      <c r="W173" s="19" t="s">
        <v>96</v>
      </c>
    </row>
    <row r="174" spans="1:23" ht="30">
      <c r="A174" s="13" t="s">
        <v>1160</v>
      </c>
      <c r="B174" s="13" t="s">
        <v>1161</v>
      </c>
      <c r="C174" s="13" t="s">
        <v>1162</v>
      </c>
      <c r="D174" s="13" t="s">
        <v>121</v>
      </c>
      <c r="E174" s="13" t="s">
        <v>1163</v>
      </c>
      <c r="F174" s="13" t="s">
        <v>59</v>
      </c>
      <c r="G174" s="14">
        <v>20</v>
      </c>
      <c r="H174" s="14">
        <v>50</v>
      </c>
      <c r="I174" s="14">
        <v>150</v>
      </c>
      <c r="J174" s="13" t="s">
        <v>147</v>
      </c>
      <c r="K174" s="14">
        <v>30</v>
      </c>
      <c r="L174" s="14">
        <v>75</v>
      </c>
      <c r="M174" s="14">
        <v>225</v>
      </c>
      <c r="N174" s="15" t="s">
        <v>61</v>
      </c>
      <c r="O174" s="13" t="s">
        <v>62</v>
      </c>
      <c r="P174" s="13" t="s">
        <v>1164</v>
      </c>
      <c r="Q174" s="13" t="s">
        <v>1165</v>
      </c>
      <c r="R174" s="13" t="b">
        <f>TRUE()</f>
        <v>1</v>
      </c>
      <c r="S174" s="13" t="b">
        <f>TRUE()</f>
        <v>1</v>
      </c>
      <c r="T174" s="23" t="s">
        <v>126</v>
      </c>
      <c r="U174" s="13" t="s">
        <v>1166</v>
      </c>
      <c r="V174" s="13" t="s">
        <v>161</v>
      </c>
      <c r="W174" s="19" t="s">
        <v>96</v>
      </c>
    </row>
    <row r="175" spans="1:23" ht="30">
      <c r="A175" s="13" t="s">
        <v>1167</v>
      </c>
      <c r="B175" s="13" t="s">
        <v>1168</v>
      </c>
      <c r="C175" s="13" t="s">
        <v>1169</v>
      </c>
      <c r="D175" s="13" t="s">
        <v>173</v>
      </c>
      <c r="E175" s="13" t="s">
        <v>1170</v>
      </c>
      <c r="F175" s="13" t="s">
        <v>59</v>
      </c>
      <c r="G175" s="14">
        <v>2</v>
      </c>
      <c r="H175" s="14">
        <v>8</v>
      </c>
      <c r="I175" s="14">
        <v>40</v>
      </c>
      <c r="J175" s="13" t="s">
        <v>195</v>
      </c>
      <c r="K175" s="14">
        <v>1</v>
      </c>
      <c r="L175" s="14">
        <v>4</v>
      </c>
      <c r="M175" s="14">
        <v>20</v>
      </c>
      <c r="N175" s="18" t="s">
        <v>92</v>
      </c>
      <c r="O175" s="13" t="s">
        <v>562</v>
      </c>
      <c r="P175" s="13" t="s">
        <v>526</v>
      </c>
      <c r="Q175" s="13" t="s">
        <v>1171</v>
      </c>
      <c r="R175" s="13" t="b">
        <f>TRUE()</f>
        <v>1</v>
      </c>
      <c r="S175" s="13" t="b">
        <f>TRUE()</f>
        <v>1</v>
      </c>
      <c r="T175" s="18" t="s">
        <v>84</v>
      </c>
      <c r="U175" s="13" t="s">
        <v>1172</v>
      </c>
      <c r="V175" s="13" t="s">
        <v>198</v>
      </c>
      <c r="W175" s="21" t="s">
        <v>110</v>
      </c>
    </row>
    <row r="176" spans="1:23" ht="30">
      <c r="A176" s="13" t="s">
        <v>1173</v>
      </c>
      <c r="B176" s="13" t="s">
        <v>1174</v>
      </c>
      <c r="C176" s="13" t="s">
        <v>1175</v>
      </c>
      <c r="D176" s="13" t="s">
        <v>173</v>
      </c>
      <c r="E176" s="13" t="s">
        <v>1176</v>
      </c>
      <c r="F176" s="13" t="s">
        <v>59</v>
      </c>
      <c r="G176" s="14">
        <v>5</v>
      </c>
      <c r="H176" s="14">
        <v>20</v>
      </c>
      <c r="I176" s="14">
        <v>80</v>
      </c>
      <c r="J176" s="13" t="s">
        <v>195</v>
      </c>
      <c r="K176" s="14">
        <v>2.5</v>
      </c>
      <c r="L176" s="14">
        <v>10</v>
      </c>
      <c r="M176" s="14">
        <v>40</v>
      </c>
      <c r="N176" s="18" t="s">
        <v>92</v>
      </c>
      <c r="O176" s="13" t="s">
        <v>562</v>
      </c>
      <c r="P176" s="13" t="s">
        <v>526</v>
      </c>
      <c r="Q176" s="13" t="s">
        <v>1177</v>
      </c>
      <c r="R176" s="13" t="b">
        <f>TRUE()</f>
        <v>1</v>
      </c>
      <c r="S176" s="13" t="b">
        <f>TRUE()</f>
        <v>1</v>
      </c>
      <c r="T176" s="23" t="s">
        <v>126</v>
      </c>
      <c r="U176" s="13" t="s">
        <v>1178</v>
      </c>
      <c r="V176" s="13" t="s">
        <v>198</v>
      </c>
      <c r="W176" s="19" t="s">
        <v>96</v>
      </c>
    </row>
    <row r="177" spans="1:23" ht="30">
      <c r="A177" s="13" t="s">
        <v>1179</v>
      </c>
      <c r="B177" s="13" t="s">
        <v>1180</v>
      </c>
      <c r="C177" s="13" t="s">
        <v>1181</v>
      </c>
      <c r="D177" s="13" t="s">
        <v>742</v>
      </c>
      <c r="E177" s="13" t="s">
        <v>1182</v>
      </c>
      <c r="F177" s="13" t="s">
        <v>59</v>
      </c>
      <c r="G177" s="14">
        <v>5</v>
      </c>
      <c r="H177" s="14">
        <v>15</v>
      </c>
      <c r="I177" s="14">
        <v>50</v>
      </c>
      <c r="J177" s="13" t="s">
        <v>195</v>
      </c>
      <c r="K177" s="14">
        <v>2.5</v>
      </c>
      <c r="L177" s="14">
        <v>7.5</v>
      </c>
      <c r="M177" s="14">
        <v>25</v>
      </c>
      <c r="N177" s="18" t="s">
        <v>92</v>
      </c>
      <c r="O177" s="13" t="s">
        <v>562</v>
      </c>
      <c r="P177" s="13" t="s">
        <v>526</v>
      </c>
      <c r="Q177" s="13" t="s">
        <v>1183</v>
      </c>
      <c r="R177" s="13" t="b">
        <f>TRUE()</f>
        <v>1</v>
      </c>
      <c r="S177" s="13" t="b">
        <f>TRUE()</f>
        <v>1</v>
      </c>
      <c r="T177" s="23" t="s">
        <v>126</v>
      </c>
      <c r="U177" s="13" t="s">
        <v>1184</v>
      </c>
      <c r="V177" s="13" t="s">
        <v>198</v>
      </c>
      <c r="W177" s="19" t="s">
        <v>96</v>
      </c>
    </row>
    <row r="178" spans="1:23" ht="30">
      <c r="A178" s="13" t="s">
        <v>1185</v>
      </c>
      <c r="B178" s="13" t="s">
        <v>1186</v>
      </c>
      <c r="C178" s="13" t="s">
        <v>1187</v>
      </c>
      <c r="D178" s="13" t="s">
        <v>1188</v>
      </c>
      <c r="E178" s="13" t="s">
        <v>1189</v>
      </c>
      <c r="F178" s="13" t="s">
        <v>59</v>
      </c>
      <c r="G178" s="14">
        <v>3</v>
      </c>
      <c r="H178" s="14">
        <v>12</v>
      </c>
      <c r="I178" s="14">
        <v>40</v>
      </c>
      <c r="J178" s="13" t="s">
        <v>195</v>
      </c>
      <c r="K178" s="14">
        <v>1.5</v>
      </c>
      <c r="L178" s="14">
        <v>6</v>
      </c>
      <c r="M178" s="14">
        <v>20</v>
      </c>
      <c r="N178" s="24" t="s">
        <v>140</v>
      </c>
      <c r="O178" s="13" t="s">
        <v>562</v>
      </c>
      <c r="P178" s="13" t="s">
        <v>526</v>
      </c>
      <c r="Q178" s="13" t="s">
        <v>1190</v>
      </c>
      <c r="R178" s="13" t="b">
        <f>TRUE()</f>
        <v>1</v>
      </c>
      <c r="S178" s="13" t="b">
        <f>TRUE()</f>
        <v>1</v>
      </c>
      <c r="T178" s="18" t="s">
        <v>84</v>
      </c>
      <c r="U178" s="13" t="s">
        <v>1191</v>
      </c>
      <c r="V178" s="13" t="s">
        <v>198</v>
      </c>
      <c r="W178" s="19" t="s">
        <v>96</v>
      </c>
    </row>
    <row r="179" spans="1:23" ht="30">
      <c r="A179" s="13" t="s">
        <v>1192</v>
      </c>
      <c r="B179" s="13" t="s">
        <v>1193</v>
      </c>
      <c r="C179" s="13" t="s">
        <v>1194</v>
      </c>
      <c r="D179" s="13" t="s">
        <v>1195</v>
      </c>
      <c r="E179" s="13" t="s">
        <v>546</v>
      </c>
      <c r="F179" s="13" t="s">
        <v>59</v>
      </c>
      <c r="G179" s="14">
        <v>5</v>
      </c>
      <c r="H179" s="14">
        <v>20</v>
      </c>
      <c r="I179" s="14">
        <v>80</v>
      </c>
      <c r="J179" s="13" t="s">
        <v>195</v>
      </c>
      <c r="K179" s="14">
        <v>2.5</v>
      </c>
      <c r="L179" s="14">
        <v>10</v>
      </c>
      <c r="M179" s="14">
        <v>40</v>
      </c>
      <c r="N179" s="18" t="s">
        <v>92</v>
      </c>
      <c r="O179" s="13" t="s">
        <v>562</v>
      </c>
      <c r="P179" s="13" t="s">
        <v>526</v>
      </c>
      <c r="Q179" s="13" t="s">
        <v>1196</v>
      </c>
      <c r="R179" s="13" t="b">
        <f>TRUE()</f>
        <v>1</v>
      </c>
      <c r="S179" s="13" t="b">
        <f>TRUE()</f>
        <v>1</v>
      </c>
      <c r="T179" s="23" t="s">
        <v>126</v>
      </c>
      <c r="U179" s="13" t="s">
        <v>1197</v>
      </c>
      <c r="V179" s="13" t="s">
        <v>198</v>
      </c>
      <c r="W179" s="19" t="s">
        <v>96</v>
      </c>
    </row>
    <row r="180" spans="1:23" ht="30">
      <c r="A180" s="13" t="s">
        <v>1198</v>
      </c>
      <c r="B180" s="13" t="s">
        <v>1199</v>
      </c>
      <c r="C180" s="13" t="s">
        <v>1200</v>
      </c>
      <c r="D180" s="13" t="s">
        <v>1201</v>
      </c>
      <c r="E180" s="13" t="s">
        <v>1202</v>
      </c>
      <c r="F180" s="13" t="s">
        <v>59</v>
      </c>
      <c r="G180" s="14">
        <v>1</v>
      </c>
      <c r="H180" s="14">
        <v>5</v>
      </c>
      <c r="I180" s="14">
        <v>20</v>
      </c>
      <c r="J180" s="13" t="s">
        <v>493</v>
      </c>
      <c r="K180" s="14">
        <v>0.8</v>
      </c>
      <c r="L180" s="14">
        <v>4</v>
      </c>
      <c r="M180" s="14">
        <v>16</v>
      </c>
      <c r="N180" s="18" t="s">
        <v>92</v>
      </c>
      <c r="O180" s="13" t="s">
        <v>562</v>
      </c>
      <c r="P180" s="13" t="s">
        <v>526</v>
      </c>
      <c r="Q180" s="13" t="s">
        <v>1203</v>
      </c>
      <c r="R180" s="13" t="b">
        <f>TRUE()</f>
        <v>1</v>
      </c>
      <c r="S180" s="13" t="b">
        <f>TRUE()</f>
        <v>1</v>
      </c>
      <c r="T180" s="18" t="s">
        <v>84</v>
      </c>
      <c r="U180" s="13" t="s">
        <v>1204</v>
      </c>
      <c r="V180" s="13" t="s">
        <v>198</v>
      </c>
      <c r="W180" s="21" t="s">
        <v>110</v>
      </c>
    </row>
    <row r="181" spans="1:23">
      <c r="A181" s="13" t="s">
        <v>1205</v>
      </c>
      <c r="B181" s="13" t="s">
        <v>1206</v>
      </c>
      <c r="C181" s="13" t="s">
        <v>1207</v>
      </c>
      <c r="D181" s="13" t="s">
        <v>958</v>
      </c>
      <c r="E181" s="13" t="s">
        <v>1208</v>
      </c>
      <c r="F181" s="13" t="s">
        <v>59</v>
      </c>
      <c r="G181" s="14">
        <v>200</v>
      </c>
      <c r="H181" s="14">
        <v>500</v>
      </c>
      <c r="I181" s="14">
        <v>1000</v>
      </c>
      <c r="J181" s="13" t="s">
        <v>91</v>
      </c>
      <c r="K181" s="14">
        <v>60</v>
      </c>
      <c r="L181" s="14">
        <v>150</v>
      </c>
      <c r="M181" s="14">
        <v>300</v>
      </c>
      <c r="N181" s="15" t="s">
        <v>61</v>
      </c>
      <c r="O181" s="13" t="s">
        <v>62</v>
      </c>
      <c r="P181" s="13" t="s">
        <v>1209</v>
      </c>
      <c r="Q181" s="13" t="s">
        <v>1210</v>
      </c>
      <c r="R181" s="13" t="b">
        <f>TRUE()</f>
        <v>1</v>
      </c>
      <c r="S181" s="13" t="b">
        <f>TRUE()</f>
        <v>1</v>
      </c>
      <c r="T181" s="23" t="s">
        <v>126</v>
      </c>
      <c r="U181" s="13" t="s">
        <v>1211</v>
      </c>
      <c r="V181" s="13" t="s">
        <v>221</v>
      </c>
      <c r="W181" s="19" t="s">
        <v>96</v>
      </c>
    </row>
    <row r="182" spans="1:23" ht="30">
      <c r="A182" s="13" t="s">
        <v>1212</v>
      </c>
      <c r="B182" s="13" t="s">
        <v>1213</v>
      </c>
      <c r="C182" s="13" t="s">
        <v>1214</v>
      </c>
      <c r="D182" s="13" t="s">
        <v>951</v>
      </c>
      <c r="E182" s="13" t="s">
        <v>1215</v>
      </c>
      <c r="F182" s="13" t="s">
        <v>59</v>
      </c>
      <c r="G182" s="14">
        <v>100</v>
      </c>
      <c r="H182" s="14">
        <v>300</v>
      </c>
      <c r="I182" s="14">
        <v>700</v>
      </c>
      <c r="J182" s="13" t="s">
        <v>91</v>
      </c>
      <c r="K182" s="14">
        <v>30</v>
      </c>
      <c r="L182" s="14">
        <v>90</v>
      </c>
      <c r="M182" s="14">
        <v>210</v>
      </c>
      <c r="N182" s="24" t="s">
        <v>140</v>
      </c>
      <c r="O182" s="13" t="s">
        <v>562</v>
      </c>
      <c r="P182" s="13" t="s">
        <v>526</v>
      </c>
      <c r="Q182" s="13" t="s">
        <v>1216</v>
      </c>
      <c r="R182" s="13" t="b">
        <f>TRUE()</f>
        <v>1</v>
      </c>
      <c r="S182" s="13" t="b">
        <f>TRUE()</f>
        <v>1</v>
      </c>
      <c r="T182" s="23" t="s">
        <v>126</v>
      </c>
      <c r="U182" s="13" t="s">
        <v>1217</v>
      </c>
      <c r="V182" s="13" t="s">
        <v>221</v>
      </c>
      <c r="W182" s="19" t="s">
        <v>96</v>
      </c>
    </row>
    <row r="183" spans="1:23" ht="30">
      <c r="A183" s="13" t="s">
        <v>1218</v>
      </c>
      <c r="B183" s="13" t="s">
        <v>1219</v>
      </c>
      <c r="C183" s="13" t="s">
        <v>1220</v>
      </c>
      <c r="D183" s="13" t="s">
        <v>1221</v>
      </c>
      <c r="E183" s="13" t="s">
        <v>1222</v>
      </c>
      <c r="F183" s="13" t="s">
        <v>59</v>
      </c>
      <c r="G183" s="14">
        <v>80</v>
      </c>
      <c r="H183" s="14">
        <v>250</v>
      </c>
      <c r="I183" s="14">
        <v>600</v>
      </c>
      <c r="J183" s="13" t="s">
        <v>132</v>
      </c>
      <c r="K183" s="14">
        <v>32</v>
      </c>
      <c r="L183" s="14">
        <v>100</v>
      </c>
      <c r="M183" s="14">
        <v>240</v>
      </c>
      <c r="N183" s="24" t="s">
        <v>140</v>
      </c>
      <c r="O183" s="13" t="s">
        <v>562</v>
      </c>
      <c r="P183" s="13" t="s">
        <v>526</v>
      </c>
      <c r="Q183" s="13" t="s">
        <v>1223</v>
      </c>
      <c r="R183" s="13" t="b">
        <f>TRUE()</f>
        <v>1</v>
      </c>
      <c r="S183" s="13" t="b">
        <f>TRUE()</f>
        <v>1</v>
      </c>
      <c r="T183" s="23" t="s">
        <v>126</v>
      </c>
      <c r="U183" s="13" t="s">
        <v>1224</v>
      </c>
      <c r="V183" s="13" t="s">
        <v>221</v>
      </c>
      <c r="W183" s="19" t="s">
        <v>96</v>
      </c>
    </row>
    <row r="184" spans="1:23" ht="30">
      <c r="A184" s="13" t="s">
        <v>1225</v>
      </c>
      <c r="B184" s="13" t="s">
        <v>1226</v>
      </c>
      <c r="C184" s="13" t="s">
        <v>1227</v>
      </c>
      <c r="D184" s="13" t="s">
        <v>379</v>
      </c>
      <c r="E184" s="13" t="s">
        <v>1228</v>
      </c>
      <c r="F184" s="13" t="s">
        <v>59</v>
      </c>
      <c r="G184" s="14">
        <v>5</v>
      </c>
      <c r="H184" s="14">
        <v>20</v>
      </c>
      <c r="I184" s="14">
        <v>80</v>
      </c>
      <c r="J184" s="13" t="s">
        <v>60</v>
      </c>
      <c r="K184" s="14">
        <v>5</v>
      </c>
      <c r="L184" s="14">
        <v>20</v>
      </c>
      <c r="M184" s="14">
        <v>80</v>
      </c>
      <c r="N184" s="18" t="s">
        <v>92</v>
      </c>
      <c r="O184" s="13" t="s">
        <v>562</v>
      </c>
      <c r="P184" s="13" t="s">
        <v>526</v>
      </c>
      <c r="Q184" s="13" t="s">
        <v>1229</v>
      </c>
      <c r="R184" s="13" t="b">
        <f>TRUE()</f>
        <v>1</v>
      </c>
      <c r="S184" s="13" t="b">
        <f>TRUE()</f>
        <v>1</v>
      </c>
      <c r="T184" s="18" t="s">
        <v>84</v>
      </c>
      <c r="U184" s="13" t="s">
        <v>1230</v>
      </c>
      <c r="V184" s="13" t="s">
        <v>198</v>
      </c>
      <c r="W184" s="19" t="s">
        <v>96</v>
      </c>
    </row>
    <row r="185" spans="1:23" ht="30">
      <c r="A185" s="13" t="s">
        <v>1231</v>
      </c>
      <c r="B185" s="13" t="s">
        <v>1232</v>
      </c>
      <c r="C185" s="13" t="s">
        <v>1233</v>
      </c>
      <c r="D185" s="13" t="s">
        <v>379</v>
      </c>
      <c r="E185" s="13" t="s">
        <v>1234</v>
      </c>
      <c r="F185" s="13" t="s">
        <v>59</v>
      </c>
      <c r="G185" s="14">
        <v>20</v>
      </c>
      <c r="H185" s="14">
        <v>80</v>
      </c>
      <c r="I185" s="14">
        <v>300</v>
      </c>
      <c r="J185" s="13" t="s">
        <v>443</v>
      </c>
      <c r="K185" s="14">
        <v>2</v>
      </c>
      <c r="L185" s="14">
        <v>8</v>
      </c>
      <c r="M185" s="14">
        <v>30</v>
      </c>
      <c r="N185" s="18" t="s">
        <v>92</v>
      </c>
      <c r="O185" s="13" t="s">
        <v>562</v>
      </c>
      <c r="P185" s="13" t="s">
        <v>526</v>
      </c>
      <c r="Q185" s="13" t="s">
        <v>1235</v>
      </c>
      <c r="R185" s="13" t="b">
        <f>TRUE()</f>
        <v>1</v>
      </c>
      <c r="S185" s="13" t="b">
        <f>TRUE()</f>
        <v>1</v>
      </c>
      <c r="T185" s="23" t="s">
        <v>126</v>
      </c>
      <c r="U185" s="13" t="s">
        <v>1236</v>
      </c>
      <c r="V185" s="13" t="s">
        <v>221</v>
      </c>
      <c r="W185" s="19" t="s">
        <v>96</v>
      </c>
    </row>
    <row r="186" spans="1:23" ht="30">
      <c r="A186" s="13" t="s">
        <v>1237</v>
      </c>
      <c r="B186" s="13" t="s">
        <v>1238</v>
      </c>
      <c r="C186" s="13" t="s">
        <v>1239</v>
      </c>
      <c r="D186" s="13" t="s">
        <v>256</v>
      </c>
      <c r="E186" s="13" t="s">
        <v>1240</v>
      </c>
      <c r="F186" s="13" t="s">
        <v>59</v>
      </c>
      <c r="G186" s="14">
        <v>30</v>
      </c>
      <c r="H186" s="14">
        <v>100</v>
      </c>
      <c r="I186" s="14">
        <v>350</v>
      </c>
      <c r="J186" s="13" t="s">
        <v>91</v>
      </c>
      <c r="K186" s="14">
        <v>9</v>
      </c>
      <c r="L186" s="14">
        <v>30</v>
      </c>
      <c r="M186" s="14">
        <v>105</v>
      </c>
      <c r="N186" s="18" t="s">
        <v>92</v>
      </c>
      <c r="O186" s="13" t="s">
        <v>562</v>
      </c>
      <c r="P186" s="13" t="s">
        <v>526</v>
      </c>
      <c r="Q186" s="13" t="s">
        <v>1241</v>
      </c>
      <c r="R186" s="13" t="b">
        <f>TRUE()</f>
        <v>1</v>
      </c>
      <c r="S186" s="13" t="b">
        <f>TRUE()</f>
        <v>1</v>
      </c>
      <c r="T186" s="23" t="s">
        <v>126</v>
      </c>
      <c r="U186" s="13" t="s">
        <v>1242</v>
      </c>
      <c r="V186" s="13" t="s">
        <v>221</v>
      </c>
      <c r="W186" s="19" t="s">
        <v>96</v>
      </c>
    </row>
    <row r="187" spans="1:23" ht="30">
      <c r="A187" s="13" t="s">
        <v>1243</v>
      </c>
      <c r="B187" s="13" t="s">
        <v>1244</v>
      </c>
      <c r="C187" s="13" t="s">
        <v>1245</v>
      </c>
      <c r="D187" s="13" t="s">
        <v>256</v>
      </c>
      <c r="E187" s="13" t="s">
        <v>1246</v>
      </c>
      <c r="F187" s="13" t="s">
        <v>59</v>
      </c>
      <c r="G187" s="14">
        <v>50</v>
      </c>
      <c r="H187" s="14">
        <v>150</v>
      </c>
      <c r="I187" s="14">
        <v>400</v>
      </c>
      <c r="J187" s="13" t="s">
        <v>270</v>
      </c>
      <c r="K187" s="14">
        <v>2.5</v>
      </c>
      <c r="L187" s="14">
        <v>7.5</v>
      </c>
      <c r="M187" s="14">
        <v>20</v>
      </c>
      <c r="N187" s="18" t="s">
        <v>92</v>
      </c>
      <c r="O187" s="13" t="s">
        <v>562</v>
      </c>
      <c r="P187" s="13" t="s">
        <v>526</v>
      </c>
      <c r="Q187" s="13" t="s">
        <v>1247</v>
      </c>
      <c r="R187" s="13" t="b">
        <f>TRUE()</f>
        <v>1</v>
      </c>
      <c r="S187" s="13" t="b">
        <f>TRUE()</f>
        <v>1</v>
      </c>
      <c r="T187" s="23" t="s">
        <v>126</v>
      </c>
      <c r="U187" s="13" t="s">
        <v>1248</v>
      </c>
      <c r="V187" s="13" t="s">
        <v>221</v>
      </c>
      <c r="W187" s="19" t="s">
        <v>96</v>
      </c>
    </row>
    <row r="188" spans="1:23" ht="30">
      <c r="A188" s="13" t="s">
        <v>1249</v>
      </c>
      <c r="B188" s="13" t="s">
        <v>1250</v>
      </c>
      <c r="C188" s="13" t="s">
        <v>1251</v>
      </c>
      <c r="D188" s="13" t="s">
        <v>1252</v>
      </c>
      <c r="E188" s="13" t="s">
        <v>1253</v>
      </c>
      <c r="F188" s="13" t="s">
        <v>59</v>
      </c>
      <c r="G188" s="14">
        <v>5</v>
      </c>
      <c r="H188" s="14">
        <v>20</v>
      </c>
      <c r="I188" s="14">
        <v>80</v>
      </c>
      <c r="J188" s="13" t="s">
        <v>91</v>
      </c>
      <c r="K188" s="14">
        <v>1.5</v>
      </c>
      <c r="L188" s="14">
        <v>6</v>
      </c>
      <c r="M188" s="14">
        <v>24</v>
      </c>
      <c r="N188" s="18" t="s">
        <v>92</v>
      </c>
      <c r="O188" s="13" t="s">
        <v>562</v>
      </c>
      <c r="P188" s="13" t="s">
        <v>526</v>
      </c>
      <c r="Q188" s="13" t="s">
        <v>1254</v>
      </c>
      <c r="R188" s="13" t="b">
        <f>TRUE()</f>
        <v>1</v>
      </c>
      <c r="S188" s="13" t="b">
        <f>FALSE()</f>
        <v>0</v>
      </c>
      <c r="T188" s="18" t="s">
        <v>84</v>
      </c>
      <c r="U188" s="13" t="s">
        <v>1255</v>
      </c>
      <c r="V188" s="13" t="s">
        <v>221</v>
      </c>
      <c r="W188" s="19" t="s">
        <v>96</v>
      </c>
    </row>
    <row r="189" spans="1:23" ht="30">
      <c r="A189" s="13" t="s">
        <v>1256</v>
      </c>
      <c r="B189" s="13" t="s">
        <v>1257</v>
      </c>
      <c r="C189" s="13" t="s">
        <v>1258</v>
      </c>
      <c r="D189" s="13" t="s">
        <v>1259</v>
      </c>
      <c r="E189" s="13" t="s">
        <v>1260</v>
      </c>
      <c r="F189" s="13" t="s">
        <v>59</v>
      </c>
      <c r="G189" s="14">
        <v>30</v>
      </c>
      <c r="H189" s="14">
        <v>100</v>
      </c>
      <c r="I189" s="14">
        <v>400</v>
      </c>
      <c r="J189" s="13" t="s">
        <v>443</v>
      </c>
      <c r="K189" s="14">
        <v>3</v>
      </c>
      <c r="L189" s="14">
        <v>10</v>
      </c>
      <c r="M189" s="14">
        <v>40</v>
      </c>
      <c r="N189" s="18" t="s">
        <v>92</v>
      </c>
      <c r="O189" s="13" t="s">
        <v>562</v>
      </c>
      <c r="P189" s="13" t="s">
        <v>526</v>
      </c>
      <c r="Q189" s="13" t="s">
        <v>1261</v>
      </c>
      <c r="R189" s="13" t="b">
        <f>TRUE()</f>
        <v>1</v>
      </c>
      <c r="S189" s="13" t="b">
        <f>TRUE()</f>
        <v>1</v>
      </c>
      <c r="T189" s="23" t="s">
        <v>126</v>
      </c>
      <c r="U189" s="13" t="s">
        <v>1262</v>
      </c>
      <c r="V189" s="13" t="s">
        <v>221</v>
      </c>
      <c r="W189" s="19" t="s">
        <v>96</v>
      </c>
    </row>
    <row r="190" spans="1:23">
      <c r="A190" s="13" t="s">
        <v>1263</v>
      </c>
      <c r="B190" s="13" t="s">
        <v>1264</v>
      </c>
      <c r="C190" s="13" t="s">
        <v>1265</v>
      </c>
      <c r="D190" s="13" t="s">
        <v>1266</v>
      </c>
      <c r="E190" s="13" t="s">
        <v>1267</v>
      </c>
      <c r="F190" s="13" t="s">
        <v>80</v>
      </c>
      <c r="G190" s="14">
        <v>30</v>
      </c>
      <c r="H190" s="14">
        <v>80</v>
      </c>
      <c r="I190" s="14">
        <v>120</v>
      </c>
      <c r="J190" s="13" t="s">
        <v>263</v>
      </c>
      <c r="K190" s="14">
        <v>3</v>
      </c>
      <c r="L190" s="14">
        <v>8</v>
      </c>
      <c r="M190" s="14">
        <v>12</v>
      </c>
      <c r="N190" s="22" t="s">
        <v>123</v>
      </c>
      <c r="O190" s="13" t="s">
        <v>62</v>
      </c>
      <c r="P190" s="13" t="s">
        <v>264</v>
      </c>
      <c r="Q190" s="13" t="s">
        <v>1268</v>
      </c>
      <c r="R190" s="13" t="b">
        <f>TRUE()</f>
        <v>1</v>
      </c>
      <c r="S190" s="13" t="b">
        <f>TRUE()</f>
        <v>1</v>
      </c>
      <c r="T190" s="23" t="s">
        <v>126</v>
      </c>
      <c r="U190" s="13" t="s">
        <v>1269</v>
      </c>
      <c r="V190" s="13" t="s">
        <v>221</v>
      </c>
      <c r="W190" s="19" t="s">
        <v>96</v>
      </c>
    </row>
    <row r="191" spans="1:23">
      <c r="A191" s="13" t="s">
        <v>1270</v>
      </c>
      <c r="B191" s="13" t="s">
        <v>1271</v>
      </c>
      <c r="C191" s="13" t="s">
        <v>1272</v>
      </c>
      <c r="D191" s="13" t="s">
        <v>1273</v>
      </c>
      <c r="E191" s="13" t="s">
        <v>1267</v>
      </c>
      <c r="F191" s="13" t="s">
        <v>80</v>
      </c>
      <c r="G191" s="14">
        <v>20</v>
      </c>
      <c r="H191" s="14">
        <v>60</v>
      </c>
      <c r="I191" s="14">
        <v>100</v>
      </c>
      <c r="J191" s="13" t="s">
        <v>263</v>
      </c>
      <c r="K191" s="14">
        <v>2</v>
      </c>
      <c r="L191" s="14">
        <v>6</v>
      </c>
      <c r="M191" s="14">
        <v>10</v>
      </c>
      <c r="N191" s="15" t="s">
        <v>61</v>
      </c>
      <c r="O191" s="13" t="s">
        <v>62</v>
      </c>
      <c r="P191" s="13" t="s">
        <v>264</v>
      </c>
      <c r="Q191" s="13" t="s">
        <v>1274</v>
      </c>
      <c r="R191" s="13" t="b">
        <f>TRUE()</f>
        <v>1</v>
      </c>
      <c r="S191" s="13" t="b">
        <f>TRUE()</f>
        <v>1</v>
      </c>
      <c r="T191" s="23" t="s">
        <v>126</v>
      </c>
      <c r="U191" s="13" t="s">
        <v>1269</v>
      </c>
      <c r="V191" s="13" t="s">
        <v>221</v>
      </c>
      <c r="W191" s="19" t="s">
        <v>96</v>
      </c>
    </row>
    <row r="192" spans="1:23" ht="30">
      <c r="A192" s="13" t="s">
        <v>1275</v>
      </c>
      <c r="B192" s="13" t="s">
        <v>1276</v>
      </c>
      <c r="C192" s="13" t="s">
        <v>1277</v>
      </c>
      <c r="D192" s="13" t="s">
        <v>1278</v>
      </c>
      <c r="E192" s="13" t="s">
        <v>1279</v>
      </c>
      <c r="F192" s="13" t="s">
        <v>80</v>
      </c>
      <c r="G192" s="14">
        <v>40</v>
      </c>
      <c r="H192" s="14">
        <v>100</v>
      </c>
      <c r="I192" s="14">
        <v>250</v>
      </c>
      <c r="J192" s="13" t="s">
        <v>263</v>
      </c>
      <c r="K192" s="14">
        <v>4</v>
      </c>
      <c r="L192" s="14">
        <v>10</v>
      </c>
      <c r="M192" s="14">
        <v>25</v>
      </c>
      <c r="N192" s="15" t="s">
        <v>61</v>
      </c>
      <c r="O192" s="13" t="s">
        <v>62</v>
      </c>
      <c r="P192" s="13" t="s">
        <v>1280</v>
      </c>
      <c r="Q192" s="13" t="s">
        <v>1281</v>
      </c>
      <c r="R192" s="13" t="b">
        <f>TRUE()</f>
        <v>1</v>
      </c>
      <c r="S192" s="13" t="b">
        <f>TRUE()</f>
        <v>1</v>
      </c>
      <c r="T192" s="23" t="s">
        <v>126</v>
      </c>
      <c r="U192" s="13" t="s">
        <v>1269</v>
      </c>
      <c r="V192" s="13" t="s">
        <v>221</v>
      </c>
      <c r="W192" s="19" t="s">
        <v>96</v>
      </c>
    </row>
    <row r="193" spans="1:23" ht="30">
      <c r="A193" s="13" t="s">
        <v>1282</v>
      </c>
      <c r="B193" s="13" t="s">
        <v>1283</v>
      </c>
      <c r="C193" s="13" t="s">
        <v>1284</v>
      </c>
      <c r="D193" s="13" t="s">
        <v>1285</v>
      </c>
      <c r="E193" s="13" t="s">
        <v>1286</v>
      </c>
      <c r="F193" s="13" t="s">
        <v>59</v>
      </c>
      <c r="G193" s="14">
        <v>40</v>
      </c>
      <c r="H193" s="14">
        <v>150</v>
      </c>
      <c r="I193" s="14">
        <v>500</v>
      </c>
      <c r="J193" s="13" t="s">
        <v>443</v>
      </c>
      <c r="K193" s="14">
        <v>4</v>
      </c>
      <c r="L193" s="14">
        <v>15</v>
      </c>
      <c r="M193" s="14">
        <v>50</v>
      </c>
      <c r="N193" s="18" t="s">
        <v>92</v>
      </c>
      <c r="O193" s="13" t="s">
        <v>562</v>
      </c>
      <c r="P193" s="13" t="s">
        <v>526</v>
      </c>
      <c r="Q193" s="13" t="s">
        <v>1287</v>
      </c>
      <c r="R193" s="13" t="b">
        <f>TRUE()</f>
        <v>1</v>
      </c>
      <c r="S193" s="13" t="b">
        <f>TRUE()</f>
        <v>1</v>
      </c>
      <c r="T193" s="23" t="s">
        <v>126</v>
      </c>
      <c r="U193" s="13" t="s">
        <v>1269</v>
      </c>
      <c r="V193" s="13" t="s">
        <v>221</v>
      </c>
      <c r="W193" s="19" t="s">
        <v>96</v>
      </c>
    </row>
    <row r="194" spans="1:23" ht="30">
      <c r="A194" s="13" t="s">
        <v>1288</v>
      </c>
      <c r="B194" s="13" t="s">
        <v>1289</v>
      </c>
      <c r="C194" s="13" t="s">
        <v>1290</v>
      </c>
      <c r="D194" s="13" t="s">
        <v>1291</v>
      </c>
      <c r="E194" s="13" t="s">
        <v>1292</v>
      </c>
      <c r="F194" s="13" t="s">
        <v>59</v>
      </c>
      <c r="G194" s="14">
        <v>50</v>
      </c>
      <c r="H194" s="14">
        <v>150</v>
      </c>
      <c r="I194" s="14">
        <v>400</v>
      </c>
      <c r="J194" s="13" t="s">
        <v>443</v>
      </c>
      <c r="K194" s="14">
        <v>5</v>
      </c>
      <c r="L194" s="14">
        <v>15</v>
      </c>
      <c r="M194" s="14">
        <v>40</v>
      </c>
      <c r="N194" s="18" t="s">
        <v>92</v>
      </c>
      <c r="O194" s="13" t="s">
        <v>562</v>
      </c>
      <c r="P194" s="13" t="s">
        <v>526</v>
      </c>
      <c r="Q194" s="13" t="s">
        <v>1293</v>
      </c>
      <c r="R194" s="13" t="b">
        <f>TRUE()</f>
        <v>1</v>
      </c>
      <c r="S194" s="13" t="b">
        <f>TRUE()</f>
        <v>1</v>
      </c>
      <c r="T194" s="23" t="s">
        <v>126</v>
      </c>
      <c r="U194" s="13" t="s">
        <v>1269</v>
      </c>
      <c r="V194" s="13" t="s">
        <v>221</v>
      </c>
      <c r="W194" s="19" t="s">
        <v>96</v>
      </c>
    </row>
    <row r="195" spans="1:23" ht="30">
      <c r="A195" s="13" t="s">
        <v>1294</v>
      </c>
      <c r="B195" s="13" t="s">
        <v>1295</v>
      </c>
      <c r="C195" s="13" t="s">
        <v>1296</v>
      </c>
      <c r="D195" s="13" t="s">
        <v>1266</v>
      </c>
      <c r="E195" s="13" t="s">
        <v>1297</v>
      </c>
      <c r="F195" s="13" t="s">
        <v>59</v>
      </c>
      <c r="G195" s="14">
        <v>40</v>
      </c>
      <c r="H195" s="14">
        <v>130</v>
      </c>
      <c r="I195" s="14">
        <v>400</v>
      </c>
      <c r="J195" s="13" t="s">
        <v>381</v>
      </c>
      <c r="K195" s="14">
        <v>6</v>
      </c>
      <c r="L195" s="14">
        <v>19.5</v>
      </c>
      <c r="M195" s="14">
        <v>60</v>
      </c>
      <c r="N195" s="18" t="s">
        <v>92</v>
      </c>
      <c r="O195" s="13" t="s">
        <v>562</v>
      </c>
      <c r="P195" s="13" t="s">
        <v>526</v>
      </c>
      <c r="Q195" s="13" t="s">
        <v>1298</v>
      </c>
      <c r="R195" s="13" t="b">
        <f>TRUE()</f>
        <v>1</v>
      </c>
      <c r="S195" s="13" t="b">
        <f>TRUE()</f>
        <v>1</v>
      </c>
      <c r="T195" s="23" t="s">
        <v>126</v>
      </c>
      <c r="U195" s="13" t="s">
        <v>1269</v>
      </c>
      <c r="V195" s="13" t="s">
        <v>221</v>
      </c>
      <c r="W195" s="19" t="s">
        <v>96</v>
      </c>
    </row>
    <row r="196" spans="1:23" ht="30">
      <c r="A196" s="13" t="s">
        <v>1299</v>
      </c>
      <c r="B196" s="13" t="s">
        <v>1300</v>
      </c>
      <c r="C196" s="13" t="s">
        <v>1301</v>
      </c>
      <c r="D196" s="13" t="s">
        <v>1302</v>
      </c>
      <c r="E196" s="13" t="s">
        <v>1303</v>
      </c>
      <c r="F196" s="13" t="s">
        <v>59</v>
      </c>
      <c r="G196" s="14">
        <v>30</v>
      </c>
      <c r="H196" s="14">
        <v>100</v>
      </c>
      <c r="I196" s="14">
        <v>350</v>
      </c>
      <c r="J196" s="13" t="s">
        <v>443</v>
      </c>
      <c r="K196" s="14">
        <v>3</v>
      </c>
      <c r="L196" s="14">
        <v>10</v>
      </c>
      <c r="M196" s="14">
        <v>35</v>
      </c>
      <c r="N196" s="18" t="s">
        <v>92</v>
      </c>
      <c r="O196" s="13" t="s">
        <v>562</v>
      </c>
      <c r="P196" s="13" t="s">
        <v>526</v>
      </c>
      <c r="Q196" s="13" t="s">
        <v>1304</v>
      </c>
      <c r="R196" s="13" t="b">
        <f>TRUE()</f>
        <v>1</v>
      </c>
      <c r="S196" s="13" t="b">
        <f>TRUE()</f>
        <v>1</v>
      </c>
      <c r="T196" s="23" t="s">
        <v>126</v>
      </c>
      <c r="U196" s="13" t="s">
        <v>1269</v>
      </c>
      <c r="V196" s="13" t="s">
        <v>221</v>
      </c>
      <c r="W196" s="19" t="s">
        <v>96</v>
      </c>
    </row>
    <row r="197" spans="1:23" ht="30">
      <c r="A197" s="13" t="s">
        <v>1305</v>
      </c>
      <c r="B197" s="13" t="s">
        <v>1306</v>
      </c>
      <c r="C197" s="13" t="s">
        <v>1307</v>
      </c>
      <c r="D197" s="13" t="s">
        <v>256</v>
      </c>
      <c r="E197" s="13" t="s">
        <v>1308</v>
      </c>
      <c r="F197" s="13" t="s">
        <v>59</v>
      </c>
      <c r="G197" s="14">
        <v>50</v>
      </c>
      <c r="H197" s="14">
        <v>150</v>
      </c>
      <c r="I197" s="14">
        <v>500</v>
      </c>
      <c r="J197" s="13" t="s">
        <v>381</v>
      </c>
      <c r="K197" s="14">
        <v>7.5</v>
      </c>
      <c r="L197" s="14">
        <v>22.5</v>
      </c>
      <c r="M197" s="14">
        <v>75</v>
      </c>
      <c r="N197" s="18" t="s">
        <v>92</v>
      </c>
      <c r="O197" s="13" t="s">
        <v>562</v>
      </c>
      <c r="P197" s="13" t="s">
        <v>526</v>
      </c>
      <c r="Q197" s="13" t="s">
        <v>1309</v>
      </c>
      <c r="R197" s="13" t="b">
        <f>TRUE()</f>
        <v>1</v>
      </c>
      <c r="S197" s="13" t="b">
        <f>TRUE()</f>
        <v>1</v>
      </c>
      <c r="T197" s="23" t="s">
        <v>126</v>
      </c>
      <c r="U197" s="13" t="s">
        <v>1269</v>
      </c>
      <c r="V197" s="13" t="s">
        <v>221</v>
      </c>
      <c r="W197" s="19" t="s">
        <v>96</v>
      </c>
    </row>
    <row r="198" spans="1:23">
      <c r="A198" s="13" t="s">
        <v>1310</v>
      </c>
      <c r="B198" s="13" t="s">
        <v>1311</v>
      </c>
      <c r="C198" s="13" t="s">
        <v>1312</v>
      </c>
      <c r="D198" s="13" t="s">
        <v>410</v>
      </c>
      <c r="E198" s="13" t="s">
        <v>1313</v>
      </c>
      <c r="F198" s="13" t="s">
        <v>59</v>
      </c>
      <c r="G198" s="14">
        <v>30</v>
      </c>
      <c r="H198" s="14">
        <v>100</v>
      </c>
      <c r="I198" s="14">
        <v>300</v>
      </c>
      <c r="J198" s="13" t="s">
        <v>443</v>
      </c>
      <c r="K198" s="14">
        <v>3</v>
      </c>
      <c r="L198" s="14">
        <v>10</v>
      </c>
      <c r="M198" s="14">
        <v>30</v>
      </c>
      <c r="N198" s="15" t="s">
        <v>61</v>
      </c>
      <c r="O198" s="13" t="s">
        <v>62</v>
      </c>
      <c r="P198" s="13" t="s">
        <v>405</v>
      </c>
      <c r="Q198" s="13" t="s">
        <v>1314</v>
      </c>
      <c r="R198" s="13" t="b">
        <f>TRUE()</f>
        <v>1</v>
      </c>
      <c r="S198" s="13" t="b">
        <f>TRUE()</f>
        <v>1</v>
      </c>
      <c r="T198" s="23" t="s">
        <v>126</v>
      </c>
      <c r="U198" s="13" t="s">
        <v>1269</v>
      </c>
      <c r="V198" s="13" t="s">
        <v>221</v>
      </c>
      <c r="W198" s="19" t="s">
        <v>96</v>
      </c>
    </row>
    <row r="199" spans="1:23">
      <c r="A199" s="13" t="s">
        <v>1315</v>
      </c>
      <c r="B199" s="13" t="s">
        <v>1316</v>
      </c>
      <c r="C199" s="13" t="s">
        <v>1317</v>
      </c>
      <c r="D199" s="13" t="s">
        <v>410</v>
      </c>
      <c r="E199" s="13" t="s">
        <v>1318</v>
      </c>
      <c r="F199" s="13" t="s">
        <v>59</v>
      </c>
      <c r="G199" s="14">
        <v>100</v>
      </c>
      <c r="H199" s="14">
        <v>300</v>
      </c>
      <c r="I199" s="14">
        <v>1000</v>
      </c>
      <c r="J199" s="13" t="s">
        <v>443</v>
      </c>
      <c r="K199" s="14">
        <v>10</v>
      </c>
      <c r="L199" s="14">
        <v>30</v>
      </c>
      <c r="M199" s="14">
        <v>100</v>
      </c>
      <c r="N199" s="22" t="s">
        <v>123</v>
      </c>
      <c r="O199" s="13" t="s">
        <v>62</v>
      </c>
      <c r="P199" s="13" t="s">
        <v>405</v>
      </c>
      <c r="Q199" s="13" t="s">
        <v>1319</v>
      </c>
      <c r="R199" s="13" t="b">
        <f>TRUE()</f>
        <v>1</v>
      </c>
      <c r="S199" s="13" t="b">
        <f>TRUE()</f>
        <v>1</v>
      </c>
      <c r="T199" s="23" t="s">
        <v>126</v>
      </c>
      <c r="U199" s="13" t="s">
        <v>1269</v>
      </c>
      <c r="V199" s="13" t="s">
        <v>221</v>
      </c>
      <c r="W199" s="19" t="s">
        <v>96</v>
      </c>
    </row>
    <row r="200" spans="1:23">
      <c r="A200" s="13" t="s">
        <v>1320</v>
      </c>
      <c r="B200" s="13" t="s">
        <v>1321</v>
      </c>
      <c r="C200" s="13" t="s">
        <v>1322</v>
      </c>
      <c r="D200" s="13" t="s">
        <v>410</v>
      </c>
      <c r="E200" s="13" t="s">
        <v>1323</v>
      </c>
      <c r="F200" s="13" t="s">
        <v>59</v>
      </c>
      <c r="G200" s="14">
        <v>50</v>
      </c>
      <c r="H200" s="14">
        <v>150</v>
      </c>
      <c r="I200" s="14">
        <v>400</v>
      </c>
      <c r="J200" s="13" t="s">
        <v>381</v>
      </c>
      <c r="K200" s="14">
        <v>7.5</v>
      </c>
      <c r="L200" s="14">
        <v>22.5</v>
      </c>
      <c r="M200" s="14">
        <v>60</v>
      </c>
      <c r="N200" s="15" t="s">
        <v>61</v>
      </c>
      <c r="O200" s="13" t="s">
        <v>62</v>
      </c>
      <c r="P200" s="13" t="s">
        <v>405</v>
      </c>
      <c r="Q200" s="13" t="s">
        <v>1324</v>
      </c>
      <c r="R200" s="13" t="b">
        <f>TRUE()</f>
        <v>1</v>
      </c>
      <c r="S200" s="13" t="b">
        <f>TRUE()</f>
        <v>1</v>
      </c>
      <c r="T200" s="23" t="s">
        <v>126</v>
      </c>
      <c r="U200" s="13" t="s">
        <v>1269</v>
      </c>
      <c r="V200" s="13" t="s">
        <v>221</v>
      </c>
      <c r="W200" s="19" t="s">
        <v>96</v>
      </c>
    </row>
    <row r="201" spans="1:23" ht="30">
      <c r="A201" s="13" t="s">
        <v>1325</v>
      </c>
      <c r="B201" s="13" t="s">
        <v>1326</v>
      </c>
      <c r="C201" s="13" t="s">
        <v>1327</v>
      </c>
      <c r="D201" s="13" t="s">
        <v>1273</v>
      </c>
      <c r="E201" s="13" t="s">
        <v>1328</v>
      </c>
      <c r="F201" s="13" t="s">
        <v>59</v>
      </c>
      <c r="G201" s="14">
        <v>40</v>
      </c>
      <c r="H201" s="14">
        <v>130</v>
      </c>
      <c r="I201" s="14">
        <v>400</v>
      </c>
      <c r="J201" s="13" t="s">
        <v>443</v>
      </c>
      <c r="K201" s="14">
        <v>4</v>
      </c>
      <c r="L201" s="14">
        <v>13</v>
      </c>
      <c r="M201" s="14">
        <v>40</v>
      </c>
      <c r="N201" s="18" t="s">
        <v>92</v>
      </c>
      <c r="O201" s="13" t="s">
        <v>562</v>
      </c>
      <c r="P201" s="13" t="s">
        <v>526</v>
      </c>
      <c r="Q201" s="13" t="s">
        <v>1329</v>
      </c>
      <c r="R201" s="13" t="b">
        <f>TRUE()</f>
        <v>1</v>
      </c>
      <c r="S201" s="13" t="b">
        <f>TRUE()</f>
        <v>1</v>
      </c>
      <c r="T201" s="23" t="s">
        <v>126</v>
      </c>
      <c r="U201" s="13" t="s">
        <v>1269</v>
      </c>
      <c r="V201" s="13" t="s">
        <v>221</v>
      </c>
      <c r="W201" s="19" t="s">
        <v>96</v>
      </c>
    </row>
    <row r="202" spans="1:23" ht="30">
      <c r="A202" s="13" t="s">
        <v>1330</v>
      </c>
      <c r="B202" s="13" t="s">
        <v>1331</v>
      </c>
      <c r="C202" s="13" t="s">
        <v>1332</v>
      </c>
      <c r="D202" s="13" t="s">
        <v>1266</v>
      </c>
      <c r="E202" s="13" t="s">
        <v>1333</v>
      </c>
      <c r="F202" s="13" t="s">
        <v>59</v>
      </c>
      <c r="G202" s="14">
        <v>50</v>
      </c>
      <c r="H202" s="14">
        <v>150</v>
      </c>
      <c r="I202" s="14">
        <v>500</v>
      </c>
      <c r="J202" s="13" t="s">
        <v>443</v>
      </c>
      <c r="K202" s="14">
        <v>5</v>
      </c>
      <c r="L202" s="14">
        <v>15</v>
      </c>
      <c r="M202" s="14">
        <v>50</v>
      </c>
      <c r="N202" s="18" t="s">
        <v>92</v>
      </c>
      <c r="O202" s="13" t="s">
        <v>562</v>
      </c>
      <c r="P202" s="13" t="s">
        <v>526</v>
      </c>
      <c r="Q202" s="13" t="s">
        <v>1334</v>
      </c>
      <c r="R202" s="13" t="b">
        <f>TRUE()</f>
        <v>1</v>
      </c>
      <c r="S202" s="13" t="b">
        <f>TRUE()</f>
        <v>1</v>
      </c>
      <c r="T202" s="23" t="s">
        <v>126</v>
      </c>
      <c r="U202" s="13" t="s">
        <v>1269</v>
      </c>
      <c r="V202" s="13" t="s">
        <v>221</v>
      </c>
      <c r="W202" s="19" t="s">
        <v>96</v>
      </c>
    </row>
    <row r="203" spans="1:23" ht="30">
      <c r="A203" s="13" t="s">
        <v>1335</v>
      </c>
      <c r="B203" s="13" t="s">
        <v>1336</v>
      </c>
      <c r="C203" s="13" t="s">
        <v>1337</v>
      </c>
      <c r="D203" s="13" t="s">
        <v>1338</v>
      </c>
      <c r="E203" s="13" t="s">
        <v>1339</v>
      </c>
      <c r="F203" s="13" t="s">
        <v>59</v>
      </c>
      <c r="G203" s="14">
        <v>80</v>
      </c>
      <c r="H203" s="14">
        <v>200</v>
      </c>
      <c r="I203" s="14">
        <v>600</v>
      </c>
      <c r="J203" s="13" t="s">
        <v>443</v>
      </c>
      <c r="K203" s="14">
        <v>8</v>
      </c>
      <c r="L203" s="14">
        <v>20</v>
      </c>
      <c r="M203" s="14">
        <v>60</v>
      </c>
      <c r="N203" s="18" t="s">
        <v>92</v>
      </c>
      <c r="O203" s="13" t="s">
        <v>562</v>
      </c>
      <c r="P203" s="13" t="s">
        <v>526</v>
      </c>
      <c r="Q203" s="13" t="s">
        <v>1340</v>
      </c>
      <c r="R203" s="13" t="b">
        <f>TRUE()</f>
        <v>1</v>
      </c>
      <c r="S203" s="13" t="b">
        <f>TRUE()</f>
        <v>1</v>
      </c>
      <c r="T203" s="23" t="s">
        <v>126</v>
      </c>
      <c r="U203" s="13" t="s">
        <v>1269</v>
      </c>
      <c r="V203" s="13" t="s">
        <v>221</v>
      </c>
      <c r="W203" s="19" t="s">
        <v>96</v>
      </c>
    </row>
    <row r="204" spans="1:23" ht="30">
      <c r="A204" s="13" t="s">
        <v>1341</v>
      </c>
      <c r="B204" s="13" t="s">
        <v>1342</v>
      </c>
      <c r="C204" s="13" t="s">
        <v>1343</v>
      </c>
      <c r="D204" s="13" t="s">
        <v>1344</v>
      </c>
      <c r="E204" s="13" t="s">
        <v>1333</v>
      </c>
      <c r="F204" s="13" t="s">
        <v>59</v>
      </c>
      <c r="G204" s="14">
        <v>60</v>
      </c>
      <c r="H204" s="14">
        <v>180</v>
      </c>
      <c r="I204" s="14">
        <v>550</v>
      </c>
      <c r="J204" s="13" t="s">
        <v>443</v>
      </c>
      <c r="K204" s="14">
        <v>6</v>
      </c>
      <c r="L204" s="14">
        <v>18</v>
      </c>
      <c r="M204" s="14">
        <v>55</v>
      </c>
      <c r="N204" s="18" t="s">
        <v>92</v>
      </c>
      <c r="O204" s="13" t="s">
        <v>562</v>
      </c>
      <c r="P204" s="13" t="s">
        <v>526</v>
      </c>
      <c r="Q204" s="13" t="s">
        <v>1345</v>
      </c>
      <c r="R204" s="13" t="b">
        <f>TRUE()</f>
        <v>1</v>
      </c>
      <c r="S204" s="13" t="b">
        <f>TRUE()</f>
        <v>1</v>
      </c>
      <c r="T204" s="23" t="s">
        <v>126</v>
      </c>
      <c r="U204" s="13" t="s">
        <v>1269</v>
      </c>
      <c r="V204" s="13" t="s">
        <v>221</v>
      </c>
      <c r="W204" s="19" t="s">
        <v>96</v>
      </c>
    </row>
    <row r="205" spans="1:23" ht="30">
      <c r="A205" s="13" t="s">
        <v>1346</v>
      </c>
      <c r="B205" s="13" t="s">
        <v>1347</v>
      </c>
      <c r="C205" s="13" t="s">
        <v>1348</v>
      </c>
      <c r="D205" s="13" t="s">
        <v>1349</v>
      </c>
      <c r="E205" s="13" t="s">
        <v>1350</v>
      </c>
      <c r="F205" s="13" t="s">
        <v>59</v>
      </c>
      <c r="G205" s="14">
        <v>5</v>
      </c>
      <c r="H205" s="14">
        <v>20</v>
      </c>
      <c r="I205" s="14">
        <v>100</v>
      </c>
      <c r="J205" s="13" t="s">
        <v>60</v>
      </c>
      <c r="K205" s="14">
        <v>5</v>
      </c>
      <c r="L205" s="14">
        <v>20</v>
      </c>
      <c r="M205" s="14">
        <v>100</v>
      </c>
      <c r="N205" s="15" t="s">
        <v>61</v>
      </c>
      <c r="O205" s="13" t="s">
        <v>62</v>
      </c>
      <c r="P205" s="13" t="s">
        <v>227</v>
      </c>
      <c r="Q205" s="13" t="s">
        <v>1351</v>
      </c>
      <c r="R205" s="13" t="b">
        <f>TRUE()</f>
        <v>1</v>
      </c>
      <c r="S205" s="13" t="b">
        <f>TRUE()</f>
        <v>1</v>
      </c>
      <c r="T205" s="23" t="s">
        <v>126</v>
      </c>
      <c r="U205" s="13" t="s">
        <v>1352</v>
      </c>
      <c r="V205" s="13" t="s">
        <v>230</v>
      </c>
      <c r="W205" s="19" t="s">
        <v>96</v>
      </c>
    </row>
    <row r="206" spans="1:23" ht="30">
      <c r="A206" s="13" t="s">
        <v>1353</v>
      </c>
      <c r="B206" s="13" t="s">
        <v>1354</v>
      </c>
      <c r="C206" s="13" t="s">
        <v>1355</v>
      </c>
      <c r="D206" s="13" t="s">
        <v>410</v>
      </c>
      <c r="E206" s="13" t="s">
        <v>1356</v>
      </c>
      <c r="F206" s="13" t="s">
        <v>59</v>
      </c>
      <c r="G206" s="14">
        <v>10</v>
      </c>
      <c r="H206" s="14">
        <v>60</v>
      </c>
      <c r="I206" s="14">
        <v>300</v>
      </c>
      <c r="J206" s="13" t="s">
        <v>493</v>
      </c>
      <c r="K206" s="14">
        <v>8</v>
      </c>
      <c r="L206" s="14">
        <v>48</v>
      </c>
      <c r="M206" s="14">
        <v>240</v>
      </c>
      <c r="N206" s="22" t="s">
        <v>123</v>
      </c>
      <c r="O206" s="13" t="s">
        <v>62</v>
      </c>
      <c r="P206" s="13" t="s">
        <v>405</v>
      </c>
      <c r="Q206" s="13" t="s">
        <v>1357</v>
      </c>
      <c r="R206" s="13" t="b">
        <f>TRUE()</f>
        <v>1</v>
      </c>
      <c r="S206" s="13" t="b">
        <f>TRUE()</f>
        <v>1</v>
      </c>
      <c r="T206" s="23" t="s">
        <v>126</v>
      </c>
      <c r="U206" s="13" t="s">
        <v>1358</v>
      </c>
      <c r="V206" s="13" t="s">
        <v>230</v>
      </c>
      <c r="W206" s="19" t="s">
        <v>96</v>
      </c>
    </row>
    <row r="207" spans="1:23">
      <c r="A207" s="13" t="s">
        <v>1359</v>
      </c>
      <c r="B207" s="13" t="s">
        <v>1360</v>
      </c>
      <c r="C207" s="13" t="s">
        <v>1361</v>
      </c>
      <c r="D207" s="13" t="s">
        <v>410</v>
      </c>
      <c r="E207" s="13" t="s">
        <v>1362</v>
      </c>
      <c r="F207" s="13" t="s">
        <v>59</v>
      </c>
      <c r="G207" s="14">
        <v>5</v>
      </c>
      <c r="H207" s="14">
        <v>30</v>
      </c>
      <c r="I207" s="14">
        <v>150</v>
      </c>
      <c r="J207" s="13" t="s">
        <v>493</v>
      </c>
      <c r="K207" s="14">
        <v>4</v>
      </c>
      <c r="L207" s="14">
        <v>24</v>
      </c>
      <c r="M207" s="14">
        <v>120</v>
      </c>
      <c r="N207" s="15" t="s">
        <v>61</v>
      </c>
      <c r="O207" s="13" t="s">
        <v>62</v>
      </c>
      <c r="P207" s="13" t="s">
        <v>405</v>
      </c>
      <c r="Q207" s="13" t="s">
        <v>1363</v>
      </c>
      <c r="R207" s="13" t="b">
        <f>TRUE()</f>
        <v>1</v>
      </c>
      <c r="S207" s="13" t="b">
        <f>TRUE()</f>
        <v>1</v>
      </c>
      <c r="T207" s="23" t="s">
        <v>126</v>
      </c>
      <c r="U207" s="13" t="s">
        <v>1364</v>
      </c>
      <c r="V207" s="13" t="s">
        <v>230</v>
      </c>
      <c r="W207" s="19" t="s">
        <v>96</v>
      </c>
    </row>
    <row r="208" spans="1:23">
      <c r="A208" s="13" t="s">
        <v>1365</v>
      </c>
      <c r="B208" s="13" t="s">
        <v>1366</v>
      </c>
      <c r="C208" s="13" t="s">
        <v>1367</v>
      </c>
      <c r="D208" s="13" t="s">
        <v>410</v>
      </c>
      <c r="E208" s="13" t="s">
        <v>1368</v>
      </c>
      <c r="F208" s="13" t="s">
        <v>59</v>
      </c>
      <c r="G208" s="14">
        <v>10</v>
      </c>
      <c r="H208" s="14">
        <v>60</v>
      </c>
      <c r="I208" s="14">
        <v>250</v>
      </c>
      <c r="J208" s="13" t="s">
        <v>1369</v>
      </c>
      <c r="K208" s="14">
        <v>6</v>
      </c>
      <c r="L208" s="14">
        <v>36</v>
      </c>
      <c r="M208" s="14">
        <v>150</v>
      </c>
      <c r="N208" s="15" t="s">
        <v>61</v>
      </c>
      <c r="O208" s="13" t="s">
        <v>62</v>
      </c>
      <c r="P208" s="13" t="s">
        <v>405</v>
      </c>
      <c r="Q208" s="13" t="s">
        <v>1370</v>
      </c>
      <c r="R208" s="13" t="b">
        <f>TRUE()</f>
        <v>1</v>
      </c>
      <c r="S208" s="13" t="b">
        <f>TRUE()</f>
        <v>1</v>
      </c>
      <c r="T208" s="23" t="s">
        <v>126</v>
      </c>
      <c r="U208" s="13" t="s">
        <v>1371</v>
      </c>
      <c r="V208" s="13" t="s">
        <v>230</v>
      </c>
      <c r="W208" s="19" t="s">
        <v>96</v>
      </c>
    </row>
    <row r="209" spans="1:23">
      <c r="A209" s="13" t="s">
        <v>1372</v>
      </c>
      <c r="B209" s="13" t="s">
        <v>1373</v>
      </c>
      <c r="C209" s="13" t="s">
        <v>1374</v>
      </c>
      <c r="D209" s="13" t="s">
        <v>410</v>
      </c>
      <c r="E209" s="13" t="s">
        <v>1375</v>
      </c>
      <c r="F209" s="13" t="s">
        <v>59</v>
      </c>
      <c r="G209" s="14">
        <v>20</v>
      </c>
      <c r="H209" s="14">
        <v>80</v>
      </c>
      <c r="I209" s="14">
        <v>400</v>
      </c>
      <c r="J209" s="13" t="s">
        <v>195</v>
      </c>
      <c r="K209" s="14">
        <v>10</v>
      </c>
      <c r="L209" s="14">
        <v>40</v>
      </c>
      <c r="M209" s="14">
        <v>200</v>
      </c>
      <c r="N209" s="15" t="s">
        <v>61</v>
      </c>
      <c r="O209" s="13" t="s">
        <v>62</v>
      </c>
      <c r="P209" s="13" t="s">
        <v>405</v>
      </c>
      <c r="Q209" s="13" t="s">
        <v>1376</v>
      </c>
      <c r="R209" s="13" t="b">
        <f>TRUE()</f>
        <v>1</v>
      </c>
      <c r="S209" s="13" t="b">
        <f>TRUE()</f>
        <v>1</v>
      </c>
      <c r="T209" s="23" t="s">
        <v>126</v>
      </c>
      <c r="U209" s="13" t="s">
        <v>1377</v>
      </c>
      <c r="V209" s="13" t="s">
        <v>230</v>
      </c>
      <c r="W209" s="19" t="s">
        <v>96</v>
      </c>
    </row>
    <row r="210" spans="1:23">
      <c r="A210" s="13" t="s">
        <v>1378</v>
      </c>
      <c r="B210" s="13" t="s">
        <v>1379</v>
      </c>
      <c r="C210" s="13" t="s">
        <v>1380</v>
      </c>
      <c r="D210" s="13" t="s">
        <v>410</v>
      </c>
      <c r="E210" s="13" t="s">
        <v>1381</v>
      </c>
      <c r="F210" s="13" t="s">
        <v>59</v>
      </c>
      <c r="G210" s="14">
        <v>15</v>
      </c>
      <c r="H210" s="14">
        <v>70</v>
      </c>
      <c r="I210" s="14">
        <v>300</v>
      </c>
      <c r="J210" s="13" t="s">
        <v>195</v>
      </c>
      <c r="K210" s="14">
        <v>7.5</v>
      </c>
      <c r="L210" s="14">
        <v>35</v>
      </c>
      <c r="M210" s="14">
        <v>150</v>
      </c>
      <c r="N210" s="18" t="s">
        <v>92</v>
      </c>
      <c r="O210" s="13" t="s">
        <v>562</v>
      </c>
      <c r="P210" s="13" t="s">
        <v>405</v>
      </c>
      <c r="Q210" s="13" t="s">
        <v>1382</v>
      </c>
      <c r="R210" s="13" t="b">
        <f>TRUE()</f>
        <v>1</v>
      </c>
      <c r="S210" s="13" t="b">
        <f>TRUE()</f>
        <v>1</v>
      </c>
      <c r="T210" s="23" t="s">
        <v>126</v>
      </c>
      <c r="U210" s="13" t="s">
        <v>1383</v>
      </c>
      <c r="V210" s="13" t="s">
        <v>230</v>
      </c>
      <c r="W210" s="19" t="s">
        <v>96</v>
      </c>
    </row>
    <row r="211" spans="1:23">
      <c r="A211" s="13" t="s">
        <v>1384</v>
      </c>
      <c r="B211" s="13" t="s">
        <v>1385</v>
      </c>
      <c r="C211" s="13" t="s">
        <v>1386</v>
      </c>
      <c r="D211" s="13" t="s">
        <v>410</v>
      </c>
      <c r="E211" s="13" t="s">
        <v>1387</v>
      </c>
      <c r="F211" s="13" t="s">
        <v>80</v>
      </c>
      <c r="G211" s="14">
        <v>2</v>
      </c>
      <c r="H211" s="14">
        <v>10</v>
      </c>
      <c r="I211" s="14">
        <v>40</v>
      </c>
      <c r="J211" s="13" t="s">
        <v>1388</v>
      </c>
      <c r="K211" s="14">
        <v>2</v>
      </c>
      <c r="L211" s="14">
        <v>10</v>
      </c>
      <c r="M211" s="14">
        <v>40</v>
      </c>
      <c r="N211" s="18" t="s">
        <v>92</v>
      </c>
      <c r="O211" s="13" t="s">
        <v>562</v>
      </c>
      <c r="P211" s="13" t="s">
        <v>405</v>
      </c>
      <c r="Q211" s="13" t="s">
        <v>1389</v>
      </c>
      <c r="R211" s="13" t="b">
        <f>TRUE()</f>
        <v>1</v>
      </c>
      <c r="S211" s="13" t="b">
        <f>TRUE()</f>
        <v>1</v>
      </c>
      <c r="T211" s="18" t="s">
        <v>84</v>
      </c>
      <c r="U211" s="13" t="s">
        <v>1390</v>
      </c>
      <c r="V211" s="13" t="s">
        <v>230</v>
      </c>
      <c r="W211" s="19" t="s">
        <v>96</v>
      </c>
    </row>
    <row r="212" spans="1:23">
      <c r="A212" s="13" t="s">
        <v>1391</v>
      </c>
      <c r="B212" s="13" t="s">
        <v>1392</v>
      </c>
      <c r="C212" s="13" t="s">
        <v>1393</v>
      </c>
      <c r="D212" s="13" t="s">
        <v>410</v>
      </c>
      <c r="E212" s="13" t="s">
        <v>1394</v>
      </c>
      <c r="F212" s="13" t="s">
        <v>59</v>
      </c>
      <c r="G212" s="14">
        <v>5</v>
      </c>
      <c r="H212" s="14">
        <v>20</v>
      </c>
      <c r="I212" s="14">
        <v>100</v>
      </c>
      <c r="J212" s="13" t="s">
        <v>493</v>
      </c>
      <c r="K212" s="14">
        <v>4</v>
      </c>
      <c r="L212" s="14">
        <v>16</v>
      </c>
      <c r="M212" s="14">
        <v>80</v>
      </c>
      <c r="N212" s="18" t="s">
        <v>92</v>
      </c>
      <c r="O212" s="13" t="s">
        <v>562</v>
      </c>
      <c r="P212" s="13" t="s">
        <v>405</v>
      </c>
      <c r="Q212" s="13" t="s">
        <v>1395</v>
      </c>
      <c r="R212" s="13" t="b">
        <f>TRUE()</f>
        <v>1</v>
      </c>
      <c r="S212" s="13" t="b">
        <f>TRUE()</f>
        <v>1</v>
      </c>
      <c r="T212" s="18" t="s">
        <v>84</v>
      </c>
      <c r="U212" s="13" t="s">
        <v>1396</v>
      </c>
      <c r="V212" s="13" t="s">
        <v>230</v>
      </c>
      <c r="W212" s="19" t="s">
        <v>96</v>
      </c>
    </row>
    <row r="213" spans="1:23">
      <c r="A213" s="13" t="s">
        <v>1397</v>
      </c>
      <c r="B213" s="13" t="s">
        <v>1398</v>
      </c>
      <c r="C213" s="13" t="s">
        <v>1399</v>
      </c>
      <c r="D213" s="13" t="s">
        <v>1400</v>
      </c>
      <c r="E213" s="13" t="s">
        <v>1401</v>
      </c>
      <c r="F213" s="13" t="s">
        <v>59</v>
      </c>
      <c r="G213" s="14">
        <v>10</v>
      </c>
      <c r="H213" s="14">
        <v>40</v>
      </c>
      <c r="I213" s="14">
        <v>200</v>
      </c>
      <c r="J213" s="13" t="s">
        <v>493</v>
      </c>
      <c r="K213" s="14">
        <v>8</v>
      </c>
      <c r="L213" s="14">
        <v>32</v>
      </c>
      <c r="M213" s="14">
        <v>160</v>
      </c>
      <c r="N213" s="15" t="s">
        <v>61</v>
      </c>
      <c r="O213" s="13" t="s">
        <v>62</v>
      </c>
      <c r="P213" s="13" t="s">
        <v>1402</v>
      </c>
      <c r="Q213" s="13" t="s">
        <v>1403</v>
      </c>
      <c r="R213" s="13" t="b">
        <f>TRUE()</f>
        <v>1</v>
      </c>
      <c r="S213" s="13" t="b">
        <f>TRUE()</f>
        <v>1</v>
      </c>
      <c r="T213" s="23" t="s">
        <v>126</v>
      </c>
      <c r="U213" s="13" t="s">
        <v>1404</v>
      </c>
      <c r="V213" s="13" t="s">
        <v>230</v>
      </c>
      <c r="W213" s="19" t="s">
        <v>96</v>
      </c>
    </row>
    <row r="214" spans="1:23" ht="30">
      <c r="A214" s="13" t="s">
        <v>1405</v>
      </c>
      <c r="B214" s="13" t="s">
        <v>1406</v>
      </c>
      <c r="C214" s="13" t="s">
        <v>1407</v>
      </c>
      <c r="D214" s="13" t="s">
        <v>458</v>
      </c>
      <c r="E214" s="13" t="s">
        <v>1408</v>
      </c>
      <c r="F214" s="13" t="s">
        <v>59</v>
      </c>
      <c r="G214" s="14">
        <v>15</v>
      </c>
      <c r="H214" s="14">
        <v>50</v>
      </c>
      <c r="I214" s="14">
        <v>250</v>
      </c>
      <c r="J214" s="13" t="s">
        <v>91</v>
      </c>
      <c r="K214" s="14">
        <v>4.5</v>
      </c>
      <c r="L214" s="14">
        <v>15</v>
      </c>
      <c r="M214" s="14">
        <v>75</v>
      </c>
      <c r="N214" s="15" t="s">
        <v>61</v>
      </c>
      <c r="O214" s="13" t="s">
        <v>62</v>
      </c>
      <c r="P214" s="13" t="s">
        <v>526</v>
      </c>
      <c r="Q214" s="13" t="s">
        <v>1409</v>
      </c>
      <c r="R214" s="13" t="b">
        <f>TRUE()</f>
        <v>1</v>
      </c>
      <c r="S214" s="13" t="b">
        <f>TRUE()</f>
        <v>1</v>
      </c>
      <c r="T214" s="23" t="s">
        <v>126</v>
      </c>
      <c r="U214" s="13" t="s">
        <v>1410</v>
      </c>
      <c r="V214" s="13" t="s">
        <v>230</v>
      </c>
      <c r="W214" s="19" t="s">
        <v>96</v>
      </c>
    </row>
    <row r="215" spans="1:23" ht="30">
      <c r="A215" s="13" t="s">
        <v>1411</v>
      </c>
      <c r="B215" s="13" t="s">
        <v>1412</v>
      </c>
      <c r="C215" s="13" t="s">
        <v>1413</v>
      </c>
      <c r="D215" s="13" t="s">
        <v>256</v>
      </c>
      <c r="E215" s="13" t="s">
        <v>1414</v>
      </c>
      <c r="F215" s="13" t="s">
        <v>59</v>
      </c>
      <c r="G215" s="14">
        <v>10</v>
      </c>
      <c r="H215" s="14">
        <v>40</v>
      </c>
      <c r="I215" s="14">
        <v>180</v>
      </c>
      <c r="J215" s="13" t="s">
        <v>91</v>
      </c>
      <c r="K215" s="14">
        <v>3</v>
      </c>
      <c r="L215" s="14">
        <v>12</v>
      </c>
      <c r="M215" s="14">
        <v>54</v>
      </c>
      <c r="N215" s="15" t="s">
        <v>61</v>
      </c>
      <c r="O215" s="13" t="s">
        <v>62</v>
      </c>
      <c r="P215" s="13" t="s">
        <v>526</v>
      </c>
      <c r="Q215" s="13" t="s">
        <v>1415</v>
      </c>
      <c r="R215" s="13" t="b">
        <f>TRUE()</f>
        <v>1</v>
      </c>
      <c r="S215" s="13" t="b">
        <f>TRUE()</f>
        <v>1</v>
      </c>
      <c r="T215" s="18" t="s">
        <v>84</v>
      </c>
      <c r="U215" s="13" t="s">
        <v>1416</v>
      </c>
      <c r="V215" s="13" t="s">
        <v>230</v>
      </c>
      <c r="W215" s="19" t="s">
        <v>96</v>
      </c>
    </row>
    <row r="216" spans="1:23" ht="30">
      <c r="A216" s="13" t="s">
        <v>1417</v>
      </c>
      <c r="B216" s="13" t="s">
        <v>1418</v>
      </c>
      <c r="C216" s="13" t="s">
        <v>1419</v>
      </c>
      <c r="D216" s="13" t="s">
        <v>256</v>
      </c>
      <c r="E216" s="13" t="s">
        <v>1420</v>
      </c>
      <c r="F216" s="13" t="s">
        <v>59</v>
      </c>
      <c r="G216" s="14">
        <v>5</v>
      </c>
      <c r="H216" s="14">
        <v>30</v>
      </c>
      <c r="I216" s="14">
        <v>100</v>
      </c>
      <c r="J216" s="13" t="s">
        <v>381</v>
      </c>
      <c r="K216" s="14">
        <v>0.75</v>
      </c>
      <c r="L216" s="14">
        <v>4.5</v>
      </c>
      <c r="M216" s="14">
        <v>15</v>
      </c>
      <c r="N216" s="18" t="s">
        <v>92</v>
      </c>
      <c r="O216" s="13" t="s">
        <v>562</v>
      </c>
      <c r="P216" s="13" t="s">
        <v>526</v>
      </c>
      <c r="Q216" s="13" t="s">
        <v>1421</v>
      </c>
      <c r="R216" s="13" t="b">
        <f>TRUE()</f>
        <v>1</v>
      </c>
      <c r="S216" s="13" t="b">
        <f>TRUE()</f>
        <v>1</v>
      </c>
      <c r="T216" s="18" t="s">
        <v>84</v>
      </c>
      <c r="U216" s="13" t="s">
        <v>1422</v>
      </c>
      <c r="V216" s="13" t="s">
        <v>230</v>
      </c>
      <c r="W216" s="21" t="s">
        <v>110</v>
      </c>
    </row>
    <row r="217" spans="1:23" ht="30">
      <c r="A217" s="13" t="s">
        <v>1423</v>
      </c>
      <c r="B217" s="13" t="s">
        <v>1424</v>
      </c>
      <c r="C217" s="13" t="s">
        <v>1425</v>
      </c>
      <c r="D217" s="13" t="s">
        <v>256</v>
      </c>
      <c r="E217" s="13" t="s">
        <v>1426</v>
      </c>
      <c r="F217" s="13" t="s">
        <v>59</v>
      </c>
      <c r="G217" s="14">
        <v>10</v>
      </c>
      <c r="H217" s="14">
        <v>40</v>
      </c>
      <c r="I217" s="14">
        <v>200</v>
      </c>
      <c r="J217" s="13" t="s">
        <v>132</v>
      </c>
      <c r="K217" s="14">
        <v>4</v>
      </c>
      <c r="L217" s="14">
        <v>16</v>
      </c>
      <c r="M217" s="14">
        <v>80</v>
      </c>
      <c r="N217" s="18" t="s">
        <v>92</v>
      </c>
      <c r="O217" s="13" t="s">
        <v>562</v>
      </c>
      <c r="P217" s="13" t="s">
        <v>526</v>
      </c>
      <c r="Q217" s="13" t="s">
        <v>1427</v>
      </c>
      <c r="R217" s="13" t="b">
        <f>TRUE()</f>
        <v>1</v>
      </c>
      <c r="S217" s="13" t="b">
        <f>TRUE()</f>
        <v>1</v>
      </c>
      <c r="T217" s="23" t="s">
        <v>126</v>
      </c>
      <c r="U217" s="13" t="s">
        <v>1428</v>
      </c>
      <c r="V217" s="13" t="s">
        <v>230</v>
      </c>
      <c r="W217" s="19" t="s">
        <v>96</v>
      </c>
    </row>
    <row r="218" spans="1:23">
      <c r="A218" s="13" t="s">
        <v>1429</v>
      </c>
      <c r="B218" s="13" t="s">
        <v>1430</v>
      </c>
      <c r="C218" s="13" t="s">
        <v>1431</v>
      </c>
      <c r="D218" s="13" t="s">
        <v>1432</v>
      </c>
      <c r="E218" s="13" t="s">
        <v>1433</v>
      </c>
      <c r="F218" s="13" t="s">
        <v>59</v>
      </c>
      <c r="G218" s="14">
        <v>0.5</v>
      </c>
      <c r="H218" s="14">
        <v>5</v>
      </c>
      <c r="I218" s="14">
        <v>30</v>
      </c>
      <c r="J218" s="13" t="s">
        <v>116</v>
      </c>
      <c r="K218" s="14">
        <v>0.1</v>
      </c>
      <c r="L218" s="14">
        <v>1</v>
      </c>
      <c r="M218" s="14">
        <v>6</v>
      </c>
      <c r="N218" s="15" t="s">
        <v>61</v>
      </c>
      <c r="O218" s="13" t="s">
        <v>62</v>
      </c>
      <c r="P218" s="13" t="s">
        <v>1434</v>
      </c>
      <c r="Q218" s="13" t="s">
        <v>1435</v>
      </c>
      <c r="R218" s="13" t="b">
        <f>TRUE()</f>
        <v>1</v>
      </c>
      <c r="S218" s="13" t="b">
        <f>FALSE()</f>
        <v>0</v>
      </c>
      <c r="T218" s="18" t="s">
        <v>84</v>
      </c>
      <c r="U218" s="13" t="s">
        <v>1436</v>
      </c>
      <c r="V218" s="13" t="s">
        <v>230</v>
      </c>
      <c r="W218" s="17" t="s">
        <v>67</v>
      </c>
    </row>
    <row r="219" spans="1:23">
      <c r="A219" s="13" t="s">
        <v>1437</v>
      </c>
      <c r="B219" s="13" t="s">
        <v>1438</v>
      </c>
      <c r="C219" s="13" t="s">
        <v>1439</v>
      </c>
      <c r="D219" s="13" t="s">
        <v>1032</v>
      </c>
      <c r="E219" s="13" t="s">
        <v>1440</v>
      </c>
      <c r="F219" s="13" t="s">
        <v>59</v>
      </c>
      <c r="G219" s="14">
        <v>0.3</v>
      </c>
      <c r="H219" s="14">
        <v>3</v>
      </c>
      <c r="I219" s="14">
        <v>20</v>
      </c>
      <c r="J219" s="13" t="s">
        <v>116</v>
      </c>
      <c r="K219" s="14">
        <v>0.06</v>
      </c>
      <c r="L219" s="14">
        <v>0.6</v>
      </c>
      <c r="M219" s="14">
        <v>4</v>
      </c>
      <c r="N219" s="18" t="s">
        <v>92</v>
      </c>
      <c r="O219" s="13" t="s">
        <v>562</v>
      </c>
      <c r="P219" s="13" t="s">
        <v>1434</v>
      </c>
      <c r="Q219" s="13" t="s">
        <v>1441</v>
      </c>
      <c r="R219" s="13" t="b">
        <f>TRUE()</f>
        <v>1</v>
      </c>
      <c r="S219" s="13" t="b">
        <f>FALSE()</f>
        <v>0</v>
      </c>
      <c r="T219" s="18" t="s">
        <v>84</v>
      </c>
      <c r="U219" s="13" t="s">
        <v>1442</v>
      </c>
      <c r="V219" s="13" t="s">
        <v>230</v>
      </c>
      <c r="W219" s="20" t="s">
        <v>103</v>
      </c>
    </row>
    <row r="220" spans="1:23" ht="30">
      <c r="A220" s="13" t="s">
        <v>1443</v>
      </c>
      <c r="B220" s="13" t="s">
        <v>1444</v>
      </c>
      <c r="C220" s="13" t="s">
        <v>1445</v>
      </c>
      <c r="D220" s="13" t="s">
        <v>867</v>
      </c>
      <c r="E220" s="13" t="s">
        <v>1446</v>
      </c>
      <c r="F220" s="13" t="s">
        <v>59</v>
      </c>
      <c r="G220" s="14">
        <v>0.5</v>
      </c>
      <c r="H220" s="14">
        <v>3</v>
      </c>
      <c r="I220" s="14">
        <v>15</v>
      </c>
      <c r="J220" s="13" t="s">
        <v>116</v>
      </c>
      <c r="K220" s="14">
        <v>0.1</v>
      </c>
      <c r="L220" s="14">
        <v>0.6</v>
      </c>
      <c r="M220" s="14">
        <v>3</v>
      </c>
      <c r="N220" s="18" t="s">
        <v>92</v>
      </c>
      <c r="O220" s="13" t="s">
        <v>562</v>
      </c>
      <c r="P220" s="13" t="s">
        <v>526</v>
      </c>
      <c r="Q220" s="13" t="s">
        <v>1447</v>
      </c>
      <c r="R220" s="13" t="b">
        <f>FALSE()</f>
        <v>0</v>
      </c>
      <c r="S220" s="13" t="b">
        <f>TRUE()</f>
        <v>1</v>
      </c>
      <c r="T220" s="23" t="s">
        <v>126</v>
      </c>
      <c r="U220" s="13" t="s">
        <v>1448</v>
      </c>
      <c r="V220" s="13" t="s">
        <v>230</v>
      </c>
      <c r="W220" s="20" t="s">
        <v>103</v>
      </c>
    </row>
    <row r="221" spans="1:23" ht="30">
      <c r="A221" s="13" t="s">
        <v>1449</v>
      </c>
      <c r="B221" s="13" t="s">
        <v>1450</v>
      </c>
      <c r="C221" s="13" t="s">
        <v>1451</v>
      </c>
      <c r="D221" s="13" t="s">
        <v>1452</v>
      </c>
      <c r="E221" s="13" t="s">
        <v>1453</v>
      </c>
      <c r="F221" s="13" t="s">
        <v>59</v>
      </c>
      <c r="G221" s="14">
        <v>1</v>
      </c>
      <c r="H221" s="14">
        <v>5</v>
      </c>
      <c r="I221" s="14">
        <v>25</v>
      </c>
      <c r="J221" s="13" t="s">
        <v>381</v>
      </c>
      <c r="K221" s="14">
        <v>0.15</v>
      </c>
      <c r="L221" s="14">
        <v>0.75</v>
      </c>
      <c r="M221" s="14">
        <v>3.75</v>
      </c>
      <c r="N221" s="24" t="s">
        <v>140</v>
      </c>
      <c r="O221" s="13" t="s">
        <v>562</v>
      </c>
      <c r="P221" s="13" t="s">
        <v>526</v>
      </c>
      <c r="Q221" s="13" t="s">
        <v>1454</v>
      </c>
      <c r="R221" s="13" t="b">
        <f>TRUE()</f>
        <v>1</v>
      </c>
      <c r="S221" s="13" t="b">
        <f>TRUE()</f>
        <v>1</v>
      </c>
      <c r="T221" s="23" t="s">
        <v>126</v>
      </c>
      <c r="U221" s="13" t="s">
        <v>1448</v>
      </c>
      <c r="V221" s="13" t="s">
        <v>230</v>
      </c>
      <c r="W221" s="20" t="s">
        <v>103</v>
      </c>
    </row>
    <row r="222" spans="1:23" ht="30">
      <c r="A222" s="13" t="s">
        <v>1455</v>
      </c>
      <c r="B222" s="13" t="s">
        <v>1456</v>
      </c>
      <c r="C222" s="13" t="s">
        <v>1457</v>
      </c>
      <c r="D222" s="13" t="s">
        <v>867</v>
      </c>
      <c r="E222" s="13" t="s">
        <v>1458</v>
      </c>
      <c r="F222" s="13" t="s">
        <v>59</v>
      </c>
      <c r="G222" s="14">
        <v>0.5</v>
      </c>
      <c r="H222" s="14">
        <v>3</v>
      </c>
      <c r="I222" s="14">
        <v>20</v>
      </c>
      <c r="J222" s="13" t="s">
        <v>381</v>
      </c>
      <c r="K222" s="14">
        <v>7.4999999999999997E-2</v>
      </c>
      <c r="L222" s="14">
        <v>0.45</v>
      </c>
      <c r="M222" s="14">
        <v>3</v>
      </c>
      <c r="N222" s="24" t="s">
        <v>140</v>
      </c>
      <c r="O222" s="13" t="s">
        <v>562</v>
      </c>
      <c r="P222" s="13" t="s">
        <v>526</v>
      </c>
      <c r="Q222" s="13" t="s">
        <v>1459</v>
      </c>
      <c r="R222" s="13" t="b">
        <f>FALSE()</f>
        <v>0</v>
      </c>
      <c r="S222" s="13" t="b">
        <f>TRUE()</f>
        <v>1</v>
      </c>
      <c r="T222" s="23" t="s">
        <v>126</v>
      </c>
      <c r="U222" s="13" t="s">
        <v>1448</v>
      </c>
      <c r="V222" s="13" t="s">
        <v>230</v>
      </c>
      <c r="W222" s="20" t="s">
        <v>103</v>
      </c>
    </row>
    <row r="223" spans="1:23" ht="30">
      <c r="A223" s="13" t="s">
        <v>1460</v>
      </c>
      <c r="B223" s="13" t="s">
        <v>1461</v>
      </c>
      <c r="C223" s="13" t="s">
        <v>1462</v>
      </c>
      <c r="D223" s="13" t="s">
        <v>1463</v>
      </c>
      <c r="E223" s="13" t="s">
        <v>1464</v>
      </c>
      <c r="F223" s="13" t="s">
        <v>59</v>
      </c>
      <c r="G223" s="14">
        <v>0.5</v>
      </c>
      <c r="H223" s="14">
        <v>3</v>
      </c>
      <c r="I223" s="14">
        <v>15</v>
      </c>
      <c r="J223" s="13" t="s">
        <v>381</v>
      </c>
      <c r="K223" s="14">
        <v>7.4999999999999997E-2</v>
      </c>
      <c r="L223" s="14">
        <v>0.45</v>
      </c>
      <c r="M223" s="14">
        <v>2.25</v>
      </c>
      <c r="N223" s="24" t="s">
        <v>140</v>
      </c>
      <c r="O223" s="13" t="s">
        <v>562</v>
      </c>
      <c r="P223" s="13" t="s">
        <v>526</v>
      </c>
      <c r="Q223" s="13" t="s">
        <v>1465</v>
      </c>
      <c r="R223" s="13" t="b">
        <f>FALSE()</f>
        <v>0</v>
      </c>
      <c r="S223" s="13" t="b">
        <f>TRUE()</f>
        <v>1</v>
      </c>
      <c r="T223" s="23" t="s">
        <v>126</v>
      </c>
      <c r="U223" s="13" t="s">
        <v>1448</v>
      </c>
      <c r="V223" s="13" t="s">
        <v>230</v>
      </c>
      <c r="W223" s="20" t="s">
        <v>103</v>
      </c>
    </row>
    <row r="224" spans="1:23" ht="30">
      <c r="A224" s="13" t="s">
        <v>1466</v>
      </c>
      <c r="B224" s="13" t="s">
        <v>1467</v>
      </c>
      <c r="C224" s="13" t="s">
        <v>1468</v>
      </c>
      <c r="D224" s="13" t="s">
        <v>458</v>
      </c>
      <c r="E224" s="13" t="s">
        <v>1469</v>
      </c>
      <c r="F224" s="13" t="s">
        <v>59</v>
      </c>
      <c r="G224" s="14">
        <v>10</v>
      </c>
      <c r="H224" s="14">
        <v>50</v>
      </c>
      <c r="I224" s="14">
        <v>250</v>
      </c>
      <c r="J224" s="13" t="s">
        <v>132</v>
      </c>
      <c r="K224" s="14">
        <v>4</v>
      </c>
      <c r="L224" s="14">
        <v>20</v>
      </c>
      <c r="M224" s="14">
        <v>100</v>
      </c>
      <c r="N224" s="18" t="s">
        <v>92</v>
      </c>
      <c r="O224" s="13" t="s">
        <v>562</v>
      </c>
      <c r="P224" s="13" t="s">
        <v>526</v>
      </c>
      <c r="Q224" s="13" t="s">
        <v>1470</v>
      </c>
      <c r="R224" s="13" t="b">
        <f>TRUE()</f>
        <v>1</v>
      </c>
      <c r="S224" s="13" t="b">
        <f>TRUE()</f>
        <v>1</v>
      </c>
      <c r="T224" s="23" t="s">
        <v>126</v>
      </c>
      <c r="U224" s="13" t="s">
        <v>1448</v>
      </c>
      <c r="V224" s="13" t="s">
        <v>230</v>
      </c>
      <c r="W224" s="19" t="s">
        <v>96</v>
      </c>
    </row>
    <row r="225" spans="1:23" ht="30">
      <c r="A225" s="13" t="s">
        <v>1471</v>
      </c>
      <c r="B225" s="13" t="s">
        <v>1472</v>
      </c>
      <c r="C225" s="13" t="s">
        <v>1473</v>
      </c>
      <c r="D225" s="13" t="s">
        <v>256</v>
      </c>
      <c r="E225" s="13" t="s">
        <v>1474</v>
      </c>
      <c r="F225" s="13" t="s">
        <v>59</v>
      </c>
      <c r="G225" s="14">
        <v>0</v>
      </c>
      <c r="H225" s="14">
        <v>0.5</v>
      </c>
      <c r="I225" s="14">
        <v>3</v>
      </c>
      <c r="J225" s="13" t="s">
        <v>443</v>
      </c>
      <c r="K225" s="14">
        <v>0</v>
      </c>
      <c r="L225" s="14">
        <v>0.05</v>
      </c>
      <c r="M225" s="14">
        <v>0.3</v>
      </c>
      <c r="N225" s="18" t="s">
        <v>92</v>
      </c>
      <c r="O225" s="13" t="s">
        <v>562</v>
      </c>
      <c r="P225" s="13" t="s">
        <v>526</v>
      </c>
      <c r="Q225" s="13" t="s">
        <v>1475</v>
      </c>
      <c r="R225" s="13" t="b">
        <f>FALSE()</f>
        <v>0</v>
      </c>
      <c r="S225" s="13" t="b">
        <f>FALSE()</f>
        <v>0</v>
      </c>
      <c r="T225" s="18" t="s">
        <v>84</v>
      </c>
      <c r="U225" s="13" t="s">
        <v>1476</v>
      </c>
      <c r="V225" s="13" t="s">
        <v>230</v>
      </c>
      <c r="W225" s="20" t="s">
        <v>103</v>
      </c>
    </row>
    <row r="226" spans="1:23" ht="30">
      <c r="A226" s="13" t="s">
        <v>1477</v>
      </c>
      <c r="B226" s="13" t="s">
        <v>1478</v>
      </c>
      <c r="C226" s="13" t="s">
        <v>1479</v>
      </c>
      <c r="D226" s="13" t="s">
        <v>256</v>
      </c>
      <c r="E226" s="13" t="s">
        <v>1480</v>
      </c>
      <c r="F226" s="13" t="s">
        <v>59</v>
      </c>
      <c r="G226" s="14">
        <v>0</v>
      </c>
      <c r="H226" s="14">
        <v>0.5</v>
      </c>
      <c r="I226" s="14">
        <v>2</v>
      </c>
      <c r="J226" s="13" t="s">
        <v>443</v>
      </c>
      <c r="K226" s="14">
        <v>0</v>
      </c>
      <c r="L226" s="14">
        <v>0.05</v>
      </c>
      <c r="M226" s="14">
        <v>0.2</v>
      </c>
      <c r="N226" s="18" t="s">
        <v>92</v>
      </c>
      <c r="O226" s="13" t="s">
        <v>562</v>
      </c>
      <c r="P226" s="13" t="s">
        <v>526</v>
      </c>
      <c r="Q226" s="13" t="s">
        <v>1481</v>
      </c>
      <c r="R226" s="13" t="b">
        <f>FALSE()</f>
        <v>0</v>
      </c>
      <c r="S226" s="13" t="b">
        <f>FALSE()</f>
        <v>0</v>
      </c>
      <c r="T226" s="18" t="s">
        <v>84</v>
      </c>
      <c r="U226" s="13" t="s">
        <v>1476</v>
      </c>
      <c r="V226" s="13" t="s">
        <v>230</v>
      </c>
      <c r="W226" s="20" t="s">
        <v>103</v>
      </c>
    </row>
    <row r="227" spans="1:23" ht="30">
      <c r="A227" s="13" t="s">
        <v>1482</v>
      </c>
      <c r="B227" s="13" t="s">
        <v>1483</v>
      </c>
      <c r="C227" s="13" t="s">
        <v>1484</v>
      </c>
      <c r="D227" s="13" t="s">
        <v>256</v>
      </c>
      <c r="E227" s="13" t="s">
        <v>1485</v>
      </c>
      <c r="F227" s="13" t="s">
        <v>59</v>
      </c>
      <c r="G227" s="14">
        <v>5</v>
      </c>
      <c r="H227" s="14">
        <v>30</v>
      </c>
      <c r="I227" s="14">
        <v>150</v>
      </c>
      <c r="J227" s="13" t="s">
        <v>91</v>
      </c>
      <c r="K227" s="14">
        <v>1.5</v>
      </c>
      <c r="L227" s="14">
        <v>9</v>
      </c>
      <c r="M227" s="14">
        <v>45</v>
      </c>
      <c r="N227" s="24" t="s">
        <v>140</v>
      </c>
      <c r="O227" s="13" t="s">
        <v>562</v>
      </c>
      <c r="P227" s="13" t="s">
        <v>526</v>
      </c>
      <c r="Q227" s="13" t="s">
        <v>1486</v>
      </c>
      <c r="R227" s="13" t="b">
        <f>TRUE()</f>
        <v>1</v>
      </c>
      <c r="S227" s="13" t="b">
        <f>TRUE()</f>
        <v>1</v>
      </c>
      <c r="T227" s="23" t="s">
        <v>126</v>
      </c>
      <c r="U227" s="13" t="s">
        <v>1448</v>
      </c>
      <c r="V227" s="13" t="s">
        <v>230</v>
      </c>
      <c r="W227" s="19" t="s">
        <v>96</v>
      </c>
    </row>
    <row r="228" spans="1:23" ht="30">
      <c r="A228" s="13" t="s">
        <v>1487</v>
      </c>
      <c r="B228" s="13" t="s">
        <v>1488</v>
      </c>
      <c r="C228" s="13" t="s">
        <v>1489</v>
      </c>
      <c r="D228" s="13" t="s">
        <v>1490</v>
      </c>
      <c r="E228" s="13" t="s">
        <v>1491</v>
      </c>
      <c r="F228" s="13" t="s">
        <v>59</v>
      </c>
      <c r="G228" s="14">
        <v>5</v>
      </c>
      <c r="H228" s="14">
        <v>30</v>
      </c>
      <c r="I228" s="14">
        <v>150</v>
      </c>
      <c r="J228" s="13" t="s">
        <v>132</v>
      </c>
      <c r="K228" s="14">
        <v>2</v>
      </c>
      <c r="L228" s="14">
        <v>12</v>
      </c>
      <c r="M228" s="14">
        <v>60</v>
      </c>
      <c r="N228" s="24" t="s">
        <v>140</v>
      </c>
      <c r="O228" s="13" t="s">
        <v>562</v>
      </c>
      <c r="P228" s="13" t="s">
        <v>526</v>
      </c>
      <c r="Q228" s="13" t="s">
        <v>1492</v>
      </c>
      <c r="R228" s="13" t="b">
        <f>TRUE()</f>
        <v>1</v>
      </c>
      <c r="S228" s="13" t="b">
        <f>TRUE()</f>
        <v>1</v>
      </c>
      <c r="T228" s="23" t="s">
        <v>126</v>
      </c>
      <c r="U228" s="13" t="s">
        <v>1448</v>
      </c>
      <c r="V228" s="13" t="s">
        <v>230</v>
      </c>
      <c r="W228" s="19" t="s">
        <v>96</v>
      </c>
    </row>
    <row r="229" spans="1:23">
      <c r="A229" s="13" t="s">
        <v>1493</v>
      </c>
      <c r="B229" s="13" t="s">
        <v>1494</v>
      </c>
      <c r="C229" s="13" t="s">
        <v>1495</v>
      </c>
      <c r="D229" s="13" t="s">
        <v>1496</v>
      </c>
      <c r="E229" s="13" t="s">
        <v>1497</v>
      </c>
      <c r="F229" s="13" t="s">
        <v>59</v>
      </c>
      <c r="G229" s="14">
        <v>15</v>
      </c>
      <c r="H229" s="14">
        <v>60</v>
      </c>
      <c r="I229" s="14">
        <v>250</v>
      </c>
      <c r="J229" s="13" t="s">
        <v>195</v>
      </c>
      <c r="K229" s="14">
        <v>7.5</v>
      </c>
      <c r="L229" s="14">
        <v>30</v>
      </c>
      <c r="M229" s="14">
        <v>125</v>
      </c>
      <c r="N229" s="18" t="s">
        <v>92</v>
      </c>
      <c r="O229" s="13" t="s">
        <v>562</v>
      </c>
      <c r="P229" s="13" t="s">
        <v>1498</v>
      </c>
      <c r="Q229" s="13" t="s">
        <v>1499</v>
      </c>
      <c r="R229" s="13" t="b">
        <f>TRUE()</f>
        <v>1</v>
      </c>
      <c r="S229" s="13" t="b">
        <f>TRUE()</f>
        <v>1</v>
      </c>
      <c r="T229" s="23" t="s">
        <v>126</v>
      </c>
      <c r="U229" s="13" t="s">
        <v>1448</v>
      </c>
      <c r="V229" s="13" t="s">
        <v>230</v>
      </c>
      <c r="W229" s="19" t="s">
        <v>96</v>
      </c>
    </row>
    <row r="230" spans="1:23" ht="30">
      <c r="A230" s="13" t="s">
        <v>1500</v>
      </c>
      <c r="B230" s="13" t="s">
        <v>1501</v>
      </c>
      <c r="C230" s="13" t="s">
        <v>1502</v>
      </c>
      <c r="D230" s="13" t="s">
        <v>1503</v>
      </c>
      <c r="E230" s="13" t="s">
        <v>1504</v>
      </c>
      <c r="F230" s="13" t="s">
        <v>59</v>
      </c>
      <c r="G230" s="14">
        <v>0</v>
      </c>
      <c r="H230" s="14">
        <v>0.3</v>
      </c>
      <c r="I230" s="14">
        <v>0.8</v>
      </c>
      <c r="J230" s="13" t="s">
        <v>60</v>
      </c>
      <c r="K230" s="14">
        <v>0</v>
      </c>
      <c r="L230" s="14">
        <v>0.3</v>
      </c>
      <c r="M230" s="14">
        <v>0.8</v>
      </c>
      <c r="N230" s="15" t="s">
        <v>61</v>
      </c>
      <c r="O230" s="13" t="s">
        <v>62</v>
      </c>
      <c r="P230" s="13" t="s">
        <v>1505</v>
      </c>
      <c r="Q230" s="13" t="s">
        <v>1506</v>
      </c>
      <c r="R230" s="13" t="b">
        <f>FALSE()</f>
        <v>0</v>
      </c>
      <c r="S230" s="13" t="b">
        <f>FALSE()</f>
        <v>0</v>
      </c>
      <c r="T230" s="16" t="s">
        <v>65</v>
      </c>
      <c r="U230" s="13" t="s">
        <v>1507</v>
      </c>
      <c r="V230" s="13" t="s">
        <v>149</v>
      </c>
      <c r="W230" s="17" t="s">
        <v>67</v>
      </c>
    </row>
    <row r="231" spans="1:23" ht="30">
      <c r="A231" s="13" t="s">
        <v>1508</v>
      </c>
      <c r="B231" s="13" t="s">
        <v>1509</v>
      </c>
      <c r="C231" s="13" t="s">
        <v>1510</v>
      </c>
      <c r="D231" s="13" t="s">
        <v>256</v>
      </c>
      <c r="E231" s="13" t="s">
        <v>1511</v>
      </c>
      <c r="F231" s="13" t="s">
        <v>59</v>
      </c>
      <c r="G231" s="14">
        <v>0</v>
      </c>
      <c r="H231" s="14">
        <v>0.2</v>
      </c>
      <c r="I231" s="14">
        <v>0.6</v>
      </c>
      <c r="J231" s="13" t="s">
        <v>60</v>
      </c>
      <c r="K231" s="14">
        <v>0</v>
      </c>
      <c r="L231" s="14">
        <v>0.2</v>
      </c>
      <c r="M231" s="14">
        <v>0.6</v>
      </c>
      <c r="N231" s="18" t="s">
        <v>92</v>
      </c>
      <c r="O231" s="13" t="s">
        <v>562</v>
      </c>
      <c r="P231" s="13" t="s">
        <v>526</v>
      </c>
      <c r="Q231" s="13" t="s">
        <v>1512</v>
      </c>
      <c r="R231" s="13" t="b">
        <f>FALSE()</f>
        <v>0</v>
      </c>
      <c r="S231" s="13" t="b">
        <f>FALSE()</f>
        <v>0</v>
      </c>
      <c r="T231" s="16" t="s">
        <v>65</v>
      </c>
      <c r="U231" s="13" t="s">
        <v>1513</v>
      </c>
      <c r="V231" s="13" t="s">
        <v>149</v>
      </c>
      <c r="W231" s="20" t="s">
        <v>103</v>
      </c>
    </row>
    <row r="232" spans="1:23">
      <c r="A232" s="13" t="s">
        <v>1514</v>
      </c>
      <c r="B232" s="13" t="s">
        <v>1515</v>
      </c>
      <c r="C232" s="13" t="s">
        <v>1516</v>
      </c>
      <c r="D232" s="13" t="s">
        <v>256</v>
      </c>
      <c r="E232" s="13" t="s">
        <v>1517</v>
      </c>
      <c r="F232" s="13" t="s">
        <v>59</v>
      </c>
      <c r="G232" s="14">
        <v>5</v>
      </c>
      <c r="H232" s="14">
        <v>30</v>
      </c>
      <c r="I232" s="14">
        <v>100</v>
      </c>
      <c r="J232" s="13" t="s">
        <v>381</v>
      </c>
      <c r="K232" s="14">
        <v>0.75</v>
      </c>
      <c r="L232" s="14">
        <v>4.5</v>
      </c>
      <c r="M232" s="14">
        <v>15</v>
      </c>
      <c r="N232" s="15" t="s">
        <v>61</v>
      </c>
      <c r="O232" s="13" t="s">
        <v>62</v>
      </c>
      <c r="P232" s="13" t="s">
        <v>1518</v>
      </c>
      <c r="Q232" s="13" t="s">
        <v>1519</v>
      </c>
      <c r="R232" s="13" t="b">
        <f>TRUE()</f>
        <v>1</v>
      </c>
      <c r="S232" s="13" t="b">
        <f>TRUE()</f>
        <v>1</v>
      </c>
      <c r="T232" s="18" t="s">
        <v>84</v>
      </c>
      <c r="U232" s="13" t="s">
        <v>1520</v>
      </c>
      <c r="V232" s="13" t="s">
        <v>246</v>
      </c>
      <c r="W232" s="21" t="s">
        <v>110</v>
      </c>
    </row>
    <row r="233" spans="1:23">
      <c r="A233" s="13" t="s">
        <v>1521</v>
      </c>
      <c r="B233" s="13" t="s">
        <v>1522</v>
      </c>
      <c r="C233" s="13" t="s">
        <v>1523</v>
      </c>
      <c r="D233" s="13" t="s">
        <v>256</v>
      </c>
      <c r="E233" s="13" t="s">
        <v>1524</v>
      </c>
      <c r="F233" s="13" t="s">
        <v>59</v>
      </c>
      <c r="G233" s="14">
        <v>20</v>
      </c>
      <c r="H233" s="14">
        <v>80</v>
      </c>
      <c r="I233" s="14">
        <v>300</v>
      </c>
      <c r="J233" s="13" t="s">
        <v>381</v>
      </c>
      <c r="K233" s="14">
        <v>3</v>
      </c>
      <c r="L233" s="14">
        <v>12</v>
      </c>
      <c r="M233" s="14">
        <v>45</v>
      </c>
      <c r="N233" s="15" t="s">
        <v>61</v>
      </c>
      <c r="O233" s="13" t="s">
        <v>62</v>
      </c>
      <c r="P233" s="13" t="s">
        <v>1518</v>
      </c>
      <c r="Q233" s="13" t="s">
        <v>1525</v>
      </c>
      <c r="R233" s="13" t="b">
        <f>TRUE()</f>
        <v>1</v>
      </c>
      <c r="S233" s="13" t="b">
        <f>TRUE()</f>
        <v>1</v>
      </c>
      <c r="T233" s="23" t="s">
        <v>126</v>
      </c>
      <c r="U233" s="13" t="s">
        <v>1526</v>
      </c>
      <c r="V233" s="13" t="s">
        <v>246</v>
      </c>
      <c r="W233" s="19" t="s">
        <v>96</v>
      </c>
    </row>
    <row r="234" spans="1:23">
      <c r="A234" s="13" t="s">
        <v>1527</v>
      </c>
      <c r="B234" s="13" t="s">
        <v>1528</v>
      </c>
      <c r="C234" s="13" t="s">
        <v>1529</v>
      </c>
      <c r="D234" s="13" t="s">
        <v>256</v>
      </c>
      <c r="E234" s="13" t="s">
        <v>1530</v>
      </c>
      <c r="F234" s="13" t="s">
        <v>59</v>
      </c>
      <c r="G234" s="14">
        <v>30</v>
      </c>
      <c r="H234" s="14">
        <v>100</v>
      </c>
      <c r="I234" s="14">
        <v>400</v>
      </c>
      <c r="J234" s="13" t="s">
        <v>381</v>
      </c>
      <c r="K234" s="14">
        <v>4.5</v>
      </c>
      <c r="L234" s="14">
        <v>15</v>
      </c>
      <c r="M234" s="14">
        <v>60</v>
      </c>
      <c r="N234" s="15" t="s">
        <v>61</v>
      </c>
      <c r="O234" s="13" t="s">
        <v>62</v>
      </c>
      <c r="P234" s="13" t="s">
        <v>1518</v>
      </c>
      <c r="Q234" s="13" t="s">
        <v>1531</v>
      </c>
      <c r="R234" s="13" t="b">
        <f>TRUE()</f>
        <v>1</v>
      </c>
      <c r="S234" s="13" t="b">
        <f>TRUE()</f>
        <v>1</v>
      </c>
      <c r="T234" s="23" t="s">
        <v>126</v>
      </c>
      <c r="U234" s="13" t="s">
        <v>1532</v>
      </c>
      <c r="V234" s="13" t="s">
        <v>246</v>
      </c>
      <c r="W234" s="19" t="s">
        <v>96</v>
      </c>
    </row>
    <row r="235" spans="1:23" ht="30">
      <c r="A235" s="13" t="s">
        <v>1533</v>
      </c>
      <c r="B235" s="13" t="s">
        <v>1534</v>
      </c>
      <c r="C235" s="13" t="s">
        <v>1535</v>
      </c>
      <c r="D235" s="13" t="s">
        <v>256</v>
      </c>
      <c r="E235" s="13" t="s">
        <v>1536</v>
      </c>
      <c r="F235" s="13" t="s">
        <v>59</v>
      </c>
      <c r="G235" s="14">
        <v>15</v>
      </c>
      <c r="H235" s="14">
        <v>60</v>
      </c>
      <c r="I235" s="14">
        <v>200</v>
      </c>
      <c r="J235" s="13" t="s">
        <v>381</v>
      </c>
      <c r="K235" s="14">
        <v>2.25</v>
      </c>
      <c r="L235" s="14">
        <v>9</v>
      </c>
      <c r="M235" s="14">
        <v>30</v>
      </c>
      <c r="N235" s="18" t="s">
        <v>92</v>
      </c>
      <c r="O235" s="13" t="s">
        <v>562</v>
      </c>
      <c r="P235" s="13" t="s">
        <v>526</v>
      </c>
      <c r="Q235" s="13" t="s">
        <v>1537</v>
      </c>
      <c r="R235" s="13" t="b">
        <f>TRUE()</f>
        <v>1</v>
      </c>
      <c r="S235" s="13" t="b">
        <f>TRUE()</f>
        <v>1</v>
      </c>
      <c r="T235" s="18" t="s">
        <v>84</v>
      </c>
      <c r="U235" s="13" t="s">
        <v>1538</v>
      </c>
      <c r="V235" s="13" t="s">
        <v>246</v>
      </c>
      <c r="W235" s="19" t="s">
        <v>96</v>
      </c>
    </row>
    <row r="236" spans="1:23">
      <c r="A236" s="13" t="s">
        <v>1539</v>
      </c>
      <c r="B236" s="13" t="s">
        <v>1540</v>
      </c>
      <c r="C236" s="13" t="s">
        <v>1541</v>
      </c>
      <c r="D236" s="13" t="s">
        <v>410</v>
      </c>
      <c r="E236" s="13" t="s">
        <v>1542</v>
      </c>
      <c r="F236" s="13" t="s">
        <v>59</v>
      </c>
      <c r="G236" s="14">
        <v>10</v>
      </c>
      <c r="H236" s="14">
        <v>50</v>
      </c>
      <c r="I236" s="14">
        <v>200</v>
      </c>
      <c r="J236" s="13" t="s">
        <v>381</v>
      </c>
      <c r="K236" s="14">
        <v>1.5</v>
      </c>
      <c r="L236" s="14">
        <v>7.5</v>
      </c>
      <c r="M236" s="14">
        <v>30</v>
      </c>
      <c r="N236" s="15" t="s">
        <v>61</v>
      </c>
      <c r="O236" s="13" t="s">
        <v>62</v>
      </c>
      <c r="P236" s="13" t="s">
        <v>1543</v>
      </c>
      <c r="Q236" s="13" t="s">
        <v>1544</v>
      </c>
      <c r="R236" s="13" t="b">
        <f>TRUE()</f>
        <v>1</v>
      </c>
      <c r="S236" s="13" t="b">
        <f>TRUE()</f>
        <v>1</v>
      </c>
      <c r="T236" s="23" t="s">
        <v>126</v>
      </c>
      <c r="U236" s="13" t="s">
        <v>1545</v>
      </c>
      <c r="V236" s="13" t="s">
        <v>246</v>
      </c>
      <c r="W236" s="19" t="s">
        <v>96</v>
      </c>
    </row>
    <row r="237" spans="1:23" ht="30">
      <c r="A237" s="13" t="s">
        <v>1546</v>
      </c>
      <c r="B237" s="13" t="s">
        <v>1547</v>
      </c>
      <c r="C237" s="13" t="s">
        <v>1548</v>
      </c>
      <c r="D237" s="13" t="s">
        <v>410</v>
      </c>
      <c r="E237" s="13" t="s">
        <v>1549</v>
      </c>
      <c r="F237" s="13" t="s">
        <v>59</v>
      </c>
      <c r="G237" s="14">
        <v>100</v>
      </c>
      <c r="H237" s="14">
        <v>500</v>
      </c>
      <c r="I237" s="14">
        <v>3000</v>
      </c>
      <c r="J237" s="13" t="s">
        <v>381</v>
      </c>
      <c r="K237" s="14">
        <v>15</v>
      </c>
      <c r="L237" s="14">
        <v>75</v>
      </c>
      <c r="M237" s="14">
        <v>450</v>
      </c>
      <c r="N237" s="22" t="s">
        <v>123</v>
      </c>
      <c r="O237" s="13" t="s">
        <v>62</v>
      </c>
      <c r="P237" s="13" t="s">
        <v>1543</v>
      </c>
      <c r="Q237" s="13" t="s">
        <v>1550</v>
      </c>
      <c r="R237" s="13" t="b">
        <f>TRUE()</f>
        <v>1</v>
      </c>
      <c r="S237" s="13" t="b">
        <f>TRUE()</f>
        <v>1</v>
      </c>
      <c r="T237" s="23" t="s">
        <v>126</v>
      </c>
      <c r="U237" s="13" t="s">
        <v>1551</v>
      </c>
      <c r="V237" s="13" t="s">
        <v>246</v>
      </c>
      <c r="W237" s="19" t="s">
        <v>96</v>
      </c>
    </row>
    <row r="238" spans="1:23" ht="30">
      <c r="A238" s="13" t="s">
        <v>1552</v>
      </c>
      <c r="B238" s="13" t="s">
        <v>1553</v>
      </c>
      <c r="C238" s="13" t="s">
        <v>1554</v>
      </c>
      <c r="D238" s="13" t="s">
        <v>1400</v>
      </c>
      <c r="E238" s="13" t="s">
        <v>1555</v>
      </c>
      <c r="F238" s="13" t="s">
        <v>59</v>
      </c>
      <c r="G238" s="14">
        <v>15</v>
      </c>
      <c r="H238" s="14">
        <v>60</v>
      </c>
      <c r="I238" s="14">
        <v>250</v>
      </c>
      <c r="J238" s="13" t="s">
        <v>381</v>
      </c>
      <c r="K238" s="14">
        <v>2.25</v>
      </c>
      <c r="L238" s="14">
        <v>9</v>
      </c>
      <c r="M238" s="14">
        <v>37.5</v>
      </c>
      <c r="N238" s="18" t="s">
        <v>92</v>
      </c>
      <c r="O238" s="13" t="s">
        <v>562</v>
      </c>
      <c r="P238" s="13" t="s">
        <v>526</v>
      </c>
      <c r="Q238" s="13" t="s">
        <v>1556</v>
      </c>
      <c r="R238" s="13" t="b">
        <f>TRUE()</f>
        <v>1</v>
      </c>
      <c r="S238" s="13" t="b">
        <f>TRUE()</f>
        <v>1</v>
      </c>
      <c r="T238" s="23" t="s">
        <v>126</v>
      </c>
      <c r="U238" s="13" t="s">
        <v>1557</v>
      </c>
      <c r="V238" s="13" t="s">
        <v>246</v>
      </c>
      <c r="W238" s="19" t="s">
        <v>96</v>
      </c>
    </row>
    <row r="239" spans="1:23" ht="30">
      <c r="A239" s="13" t="s">
        <v>1558</v>
      </c>
      <c r="B239" s="13" t="s">
        <v>1559</v>
      </c>
      <c r="C239" s="13" t="s">
        <v>1560</v>
      </c>
      <c r="D239" s="13" t="s">
        <v>458</v>
      </c>
      <c r="E239" s="13" t="s">
        <v>1561</v>
      </c>
      <c r="F239" s="13" t="s">
        <v>59</v>
      </c>
      <c r="G239" s="14">
        <v>5</v>
      </c>
      <c r="H239" s="14">
        <v>25</v>
      </c>
      <c r="I239" s="14">
        <v>100</v>
      </c>
      <c r="J239" s="13" t="s">
        <v>381</v>
      </c>
      <c r="K239" s="14">
        <v>0.75</v>
      </c>
      <c r="L239" s="14">
        <v>3.75</v>
      </c>
      <c r="M239" s="14">
        <v>15</v>
      </c>
      <c r="N239" s="24" t="s">
        <v>140</v>
      </c>
      <c r="O239" s="13" t="s">
        <v>562</v>
      </c>
      <c r="P239" s="13" t="s">
        <v>526</v>
      </c>
      <c r="Q239" s="13" t="s">
        <v>1562</v>
      </c>
      <c r="R239" s="13" t="b">
        <f>TRUE()</f>
        <v>1</v>
      </c>
      <c r="S239" s="13" t="b">
        <f>TRUE()</f>
        <v>1</v>
      </c>
      <c r="T239" s="18" t="s">
        <v>84</v>
      </c>
      <c r="U239" s="13" t="s">
        <v>1563</v>
      </c>
      <c r="V239" s="13" t="s">
        <v>246</v>
      </c>
      <c r="W239" s="19" t="s">
        <v>96</v>
      </c>
    </row>
    <row r="240" spans="1:23">
      <c r="A240" s="13" t="s">
        <v>1564</v>
      </c>
      <c r="B240" s="13" t="s">
        <v>1565</v>
      </c>
      <c r="C240" s="13" t="s">
        <v>1566</v>
      </c>
      <c r="D240" s="13" t="s">
        <v>256</v>
      </c>
      <c r="E240" s="13" t="s">
        <v>1567</v>
      </c>
      <c r="F240" s="13" t="s">
        <v>80</v>
      </c>
      <c r="G240" s="14">
        <v>50</v>
      </c>
      <c r="H240" s="14">
        <v>120</v>
      </c>
      <c r="I240" s="14">
        <v>300</v>
      </c>
      <c r="J240" s="13" t="s">
        <v>242</v>
      </c>
      <c r="K240" s="14">
        <v>7.5</v>
      </c>
      <c r="L240" s="14">
        <v>18</v>
      </c>
      <c r="M240" s="14">
        <v>45</v>
      </c>
      <c r="N240" s="22" t="s">
        <v>123</v>
      </c>
      <c r="O240" s="13" t="s">
        <v>62</v>
      </c>
      <c r="P240" s="13" t="s">
        <v>328</v>
      </c>
      <c r="Q240" s="13" t="s">
        <v>1568</v>
      </c>
      <c r="R240" s="13" t="b">
        <f>TRUE()</f>
        <v>1</v>
      </c>
      <c r="S240" s="13" t="b">
        <f>TRUE()</f>
        <v>1</v>
      </c>
      <c r="T240" s="23" t="s">
        <v>126</v>
      </c>
      <c r="U240" s="13" t="s">
        <v>1569</v>
      </c>
      <c r="V240" s="13" t="s">
        <v>246</v>
      </c>
      <c r="W240" s="19" t="s">
        <v>96</v>
      </c>
    </row>
    <row r="241" spans="1:23">
      <c r="A241" s="13" t="s">
        <v>1570</v>
      </c>
      <c r="B241" s="13" t="s">
        <v>1571</v>
      </c>
      <c r="C241" s="13" t="s">
        <v>1572</v>
      </c>
      <c r="D241" s="13" t="s">
        <v>256</v>
      </c>
      <c r="E241" s="13" t="s">
        <v>1573</v>
      </c>
      <c r="F241" s="13" t="s">
        <v>80</v>
      </c>
      <c r="G241" s="14">
        <v>30</v>
      </c>
      <c r="H241" s="14">
        <v>80</v>
      </c>
      <c r="I241" s="14">
        <v>200</v>
      </c>
      <c r="J241" s="13" t="s">
        <v>242</v>
      </c>
      <c r="K241" s="14">
        <v>4.5</v>
      </c>
      <c r="L241" s="14">
        <v>12</v>
      </c>
      <c r="M241" s="14">
        <v>30</v>
      </c>
      <c r="N241" s="15" t="s">
        <v>61</v>
      </c>
      <c r="O241" s="13" t="s">
        <v>62</v>
      </c>
      <c r="P241" s="13" t="s">
        <v>328</v>
      </c>
      <c r="Q241" s="13" t="s">
        <v>1574</v>
      </c>
      <c r="R241" s="13" t="b">
        <f>TRUE()</f>
        <v>1</v>
      </c>
      <c r="S241" s="13" t="b">
        <f>TRUE()</f>
        <v>1</v>
      </c>
      <c r="T241" s="23" t="s">
        <v>126</v>
      </c>
      <c r="U241" s="13" t="s">
        <v>1575</v>
      </c>
      <c r="V241" s="13" t="s">
        <v>246</v>
      </c>
      <c r="W241" s="19" t="s">
        <v>96</v>
      </c>
    </row>
    <row r="242" spans="1:23" ht="30">
      <c r="A242" s="13" t="s">
        <v>1576</v>
      </c>
      <c r="B242" s="13" t="s">
        <v>1577</v>
      </c>
      <c r="C242" s="13" t="s">
        <v>1578</v>
      </c>
      <c r="D242" s="13" t="s">
        <v>256</v>
      </c>
      <c r="E242" s="13" t="s">
        <v>1579</v>
      </c>
      <c r="F242" s="13" t="s">
        <v>80</v>
      </c>
      <c r="G242" s="14">
        <v>80</v>
      </c>
      <c r="H242" s="14">
        <v>180</v>
      </c>
      <c r="I242" s="14">
        <v>400</v>
      </c>
      <c r="J242" s="13" t="s">
        <v>242</v>
      </c>
      <c r="K242" s="14">
        <v>12</v>
      </c>
      <c r="L242" s="14">
        <v>27</v>
      </c>
      <c r="M242" s="14">
        <v>60</v>
      </c>
      <c r="N242" s="18" t="s">
        <v>92</v>
      </c>
      <c r="O242" s="13" t="s">
        <v>562</v>
      </c>
      <c r="P242" s="13" t="s">
        <v>526</v>
      </c>
      <c r="Q242" s="13" t="s">
        <v>1580</v>
      </c>
      <c r="R242" s="13" t="b">
        <f>TRUE()</f>
        <v>1</v>
      </c>
      <c r="S242" s="13" t="b">
        <f>TRUE()</f>
        <v>1</v>
      </c>
      <c r="T242" s="23" t="s">
        <v>126</v>
      </c>
      <c r="U242" s="13" t="s">
        <v>1581</v>
      </c>
      <c r="V242" s="13" t="s">
        <v>246</v>
      </c>
      <c r="W242" s="19" t="s">
        <v>96</v>
      </c>
    </row>
    <row r="243" spans="1:23" ht="30">
      <c r="A243" s="13" t="s">
        <v>1582</v>
      </c>
      <c r="B243" s="13" t="s">
        <v>1583</v>
      </c>
      <c r="C243" s="13" t="s">
        <v>1584</v>
      </c>
      <c r="D243" s="13" t="s">
        <v>458</v>
      </c>
      <c r="E243" s="13" t="s">
        <v>1585</v>
      </c>
      <c r="F243" s="13" t="s">
        <v>80</v>
      </c>
      <c r="G243" s="14">
        <v>60</v>
      </c>
      <c r="H243" s="14">
        <v>150</v>
      </c>
      <c r="I243" s="14">
        <v>350</v>
      </c>
      <c r="J243" s="13" t="s">
        <v>242</v>
      </c>
      <c r="K243" s="14">
        <v>9</v>
      </c>
      <c r="L243" s="14">
        <v>22.5</v>
      </c>
      <c r="M243" s="14">
        <v>52.5</v>
      </c>
      <c r="N243" s="18" t="s">
        <v>92</v>
      </c>
      <c r="O243" s="13" t="s">
        <v>562</v>
      </c>
      <c r="P243" s="13" t="s">
        <v>526</v>
      </c>
      <c r="Q243" s="13" t="s">
        <v>1586</v>
      </c>
      <c r="R243" s="13" t="b">
        <f>TRUE()</f>
        <v>1</v>
      </c>
      <c r="S243" s="13" t="b">
        <f>TRUE()</f>
        <v>1</v>
      </c>
      <c r="T243" s="23" t="s">
        <v>126</v>
      </c>
      <c r="U243" s="13" t="s">
        <v>1587</v>
      </c>
      <c r="V243" s="13" t="s">
        <v>246</v>
      </c>
      <c r="W243" s="19" t="s">
        <v>96</v>
      </c>
    </row>
    <row r="244" spans="1:23" ht="30">
      <c r="A244" s="13" t="s">
        <v>1588</v>
      </c>
      <c r="B244" s="13" t="s">
        <v>1589</v>
      </c>
      <c r="C244" s="13" t="s">
        <v>1590</v>
      </c>
      <c r="D244" s="13" t="s">
        <v>1344</v>
      </c>
      <c r="E244" s="13" t="s">
        <v>1591</v>
      </c>
      <c r="F244" s="13" t="s">
        <v>80</v>
      </c>
      <c r="G244" s="14">
        <v>20</v>
      </c>
      <c r="H244" s="14">
        <v>60</v>
      </c>
      <c r="I244" s="14">
        <v>200</v>
      </c>
      <c r="J244" s="13" t="s">
        <v>242</v>
      </c>
      <c r="K244" s="14">
        <v>3</v>
      </c>
      <c r="L244" s="14">
        <v>9</v>
      </c>
      <c r="M244" s="14">
        <v>30</v>
      </c>
      <c r="N244" s="18" t="s">
        <v>92</v>
      </c>
      <c r="O244" s="13" t="s">
        <v>562</v>
      </c>
      <c r="P244" s="13" t="s">
        <v>526</v>
      </c>
      <c r="Q244" s="13" t="s">
        <v>1592</v>
      </c>
      <c r="R244" s="13" t="b">
        <f>TRUE()</f>
        <v>1</v>
      </c>
      <c r="S244" s="13" t="b">
        <f>TRUE()</f>
        <v>1</v>
      </c>
      <c r="T244" s="18" t="s">
        <v>84</v>
      </c>
      <c r="U244" s="13" t="s">
        <v>1593</v>
      </c>
      <c r="V244" s="13" t="s">
        <v>246</v>
      </c>
      <c r="W244" s="19" t="s">
        <v>96</v>
      </c>
    </row>
    <row r="245" spans="1:23" ht="30">
      <c r="A245" s="13" t="s">
        <v>1594</v>
      </c>
      <c r="B245" s="13" t="s">
        <v>1595</v>
      </c>
      <c r="C245" s="13" t="s">
        <v>1596</v>
      </c>
      <c r="D245" s="13" t="s">
        <v>1597</v>
      </c>
      <c r="E245" s="13" t="s">
        <v>1598</v>
      </c>
      <c r="F245" s="13" t="s">
        <v>59</v>
      </c>
      <c r="G245" s="14">
        <v>15</v>
      </c>
      <c r="H245" s="14">
        <v>80</v>
      </c>
      <c r="I245" s="14">
        <v>300</v>
      </c>
      <c r="J245" s="13" t="s">
        <v>381</v>
      </c>
      <c r="K245" s="14">
        <v>2.25</v>
      </c>
      <c r="L245" s="14">
        <v>12</v>
      </c>
      <c r="M245" s="14">
        <v>45</v>
      </c>
      <c r="N245" s="18" t="s">
        <v>92</v>
      </c>
      <c r="O245" s="13" t="s">
        <v>562</v>
      </c>
      <c r="P245" s="13" t="s">
        <v>1599</v>
      </c>
      <c r="Q245" s="13" t="s">
        <v>1600</v>
      </c>
      <c r="R245" s="13" t="b">
        <f>TRUE()</f>
        <v>1</v>
      </c>
      <c r="S245" s="13" t="b">
        <f>TRUE()</f>
        <v>1</v>
      </c>
      <c r="T245" s="23" t="s">
        <v>126</v>
      </c>
      <c r="U245" s="13" t="s">
        <v>1601</v>
      </c>
      <c r="V245" s="13" t="s">
        <v>246</v>
      </c>
      <c r="W245" s="19" t="s">
        <v>96</v>
      </c>
    </row>
    <row r="246" spans="1:23">
      <c r="A246" s="13" t="s">
        <v>1602</v>
      </c>
      <c r="B246" s="13" t="s">
        <v>1603</v>
      </c>
      <c r="C246" s="13" t="s">
        <v>1604</v>
      </c>
      <c r="D246" s="13" t="s">
        <v>1597</v>
      </c>
      <c r="E246" s="13" t="s">
        <v>1605</v>
      </c>
      <c r="F246" s="13" t="s">
        <v>59</v>
      </c>
      <c r="G246" s="14">
        <v>20</v>
      </c>
      <c r="H246" s="14">
        <v>100</v>
      </c>
      <c r="I246" s="14">
        <v>350</v>
      </c>
      <c r="J246" s="13" t="s">
        <v>381</v>
      </c>
      <c r="K246" s="14">
        <v>3</v>
      </c>
      <c r="L246" s="14">
        <v>15</v>
      </c>
      <c r="M246" s="14">
        <v>52.5</v>
      </c>
      <c r="N246" s="18" t="s">
        <v>92</v>
      </c>
      <c r="O246" s="13" t="s">
        <v>562</v>
      </c>
      <c r="P246" s="13" t="s">
        <v>1599</v>
      </c>
      <c r="Q246" s="13" t="s">
        <v>1606</v>
      </c>
      <c r="R246" s="13" t="b">
        <f>TRUE()</f>
        <v>1</v>
      </c>
      <c r="S246" s="13" t="b">
        <f>TRUE()</f>
        <v>1</v>
      </c>
      <c r="T246" s="23" t="s">
        <v>126</v>
      </c>
      <c r="U246" s="13" t="s">
        <v>1607</v>
      </c>
      <c r="V246" s="13" t="s">
        <v>246</v>
      </c>
      <c r="W246" s="19" t="s">
        <v>96</v>
      </c>
    </row>
    <row r="247" spans="1:23" ht="30">
      <c r="A247" s="13" t="s">
        <v>1608</v>
      </c>
      <c r="B247" s="13" t="s">
        <v>1609</v>
      </c>
      <c r="C247" s="13" t="s">
        <v>1610</v>
      </c>
      <c r="D247" s="13" t="s">
        <v>1611</v>
      </c>
      <c r="E247" s="13" t="s">
        <v>1612</v>
      </c>
      <c r="F247" s="13" t="s">
        <v>59</v>
      </c>
      <c r="G247" s="14">
        <v>20</v>
      </c>
      <c r="H247" s="14">
        <v>100</v>
      </c>
      <c r="I247" s="14">
        <v>400</v>
      </c>
      <c r="J247" s="13" t="s">
        <v>381</v>
      </c>
      <c r="K247" s="14">
        <v>3</v>
      </c>
      <c r="L247" s="14">
        <v>15</v>
      </c>
      <c r="M247" s="14">
        <v>60</v>
      </c>
      <c r="N247" s="24" t="s">
        <v>140</v>
      </c>
      <c r="O247" s="13" t="s">
        <v>562</v>
      </c>
      <c r="P247" s="13" t="s">
        <v>526</v>
      </c>
      <c r="Q247" s="13" t="s">
        <v>1613</v>
      </c>
      <c r="R247" s="13" t="b">
        <f>TRUE()</f>
        <v>1</v>
      </c>
      <c r="S247" s="13" t="b">
        <f>TRUE()</f>
        <v>1</v>
      </c>
      <c r="T247" s="23" t="s">
        <v>126</v>
      </c>
      <c r="U247" s="13" t="s">
        <v>1614</v>
      </c>
      <c r="V247" s="13" t="s">
        <v>246</v>
      </c>
      <c r="W247" s="19" t="s">
        <v>96</v>
      </c>
    </row>
    <row r="248" spans="1:23" ht="30">
      <c r="A248" s="13" t="s">
        <v>1615</v>
      </c>
      <c r="B248" s="13" t="s">
        <v>1616</v>
      </c>
      <c r="C248" s="13" t="s">
        <v>1617</v>
      </c>
      <c r="D248" s="13" t="s">
        <v>1611</v>
      </c>
      <c r="E248" s="13" t="s">
        <v>1618</v>
      </c>
      <c r="F248" s="13" t="s">
        <v>59</v>
      </c>
      <c r="G248" s="14">
        <v>15</v>
      </c>
      <c r="H248" s="14">
        <v>80</v>
      </c>
      <c r="I248" s="14">
        <v>300</v>
      </c>
      <c r="J248" s="13" t="s">
        <v>116</v>
      </c>
      <c r="K248" s="14">
        <v>3</v>
      </c>
      <c r="L248" s="14">
        <v>16</v>
      </c>
      <c r="M248" s="14">
        <v>60</v>
      </c>
      <c r="N248" s="24" t="s">
        <v>140</v>
      </c>
      <c r="O248" s="13" t="s">
        <v>562</v>
      </c>
      <c r="P248" s="13" t="s">
        <v>526</v>
      </c>
      <c r="Q248" s="13" t="s">
        <v>1619</v>
      </c>
      <c r="R248" s="13" t="b">
        <f>TRUE()</f>
        <v>1</v>
      </c>
      <c r="S248" s="13" t="b">
        <f>TRUE()</f>
        <v>1</v>
      </c>
      <c r="T248" s="23" t="s">
        <v>126</v>
      </c>
      <c r="U248" s="13" t="s">
        <v>1620</v>
      </c>
      <c r="V248" s="13" t="s">
        <v>246</v>
      </c>
      <c r="W248" s="19" t="s">
        <v>96</v>
      </c>
    </row>
    <row r="249" spans="1:23" ht="30">
      <c r="A249" s="13" t="s">
        <v>1621</v>
      </c>
      <c r="B249" s="13" t="s">
        <v>1622</v>
      </c>
      <c r="C249" s="13" t="s">
        <v>1623</v>
      </c>
      <c r="D249" s="13" t="s">
        <v>121</v>
      </c>
      <c r="E249" s="13" t="s">
        <v>1624</v>
      </c>
      <c r="F249" s="13" t="s">
        <v>59</v>
      </c>
      <c r="G249" s="14"/>
      <c r="H249" s="14">
        <v>1</v>
      </c>
      <c r="I249" s="14">
        <v>3</v>
      </c>
      <c r="J249" s="13" t="s">
        <v>60</v>
      </c>
      <c r="K249" s="14"/>
      <c r="L249" s="14">
        <v>1</v>
      </c>
      <c r="M249" s="14">
        <v>3</v>
      </c>
      <c r="N249" s="22" t="s">
        <v>123</v>
      </c>
      <c r="O249" s="13" t="s">
        <v>62</v>
      </c>
      <c r="P249" s="13" t="s">
        <v>1625</v>
      </c>
      <c r="Q249" s="13" t="s">
        <v>1626</v>
      </c>
      <c r="R249" s="13" t="b">
        <f>FALSE()</f>
        <v>0</v>
      </c>
      <c r="S249" s="13" t="b">
        <f>TRUE()</f>
        <v>1</v>
      </c>
      <c r="T249" s="18" t="s">
        <v>84</v>
      </c>
      <c r="U249" s="13" t="s">
        <v>1627</v>
      </c>
      <c r="V249" s="13" t="s">
        <v>348</v>
      </c>
      <c r="W249" s="19" t="s">
        <v>96</v>
      </c>
    </row>
    <row r="250" spans="1:23">
      <c r="A250" s="13" t="s">
        <v>1628</v>
      </c>
      <c r="B250" s="13" t="s">
        <v>1629</v>
      </c>
      <c r="C250" s="13" t="s">
        <v>1630</v>
      </c>
      <c r="D250" s="13" t="s">
        <v>121</v>
      </c>
      <c r="E250" s="13" t="s">
        <v>1631</v>
      </c>
      <c r="F250" s="13" t="s">
        <v>59</v>
      </c>
      <c r="G250" s="14"/>
      <c r="H250" s="14">
        <v>1</v>
      </c>
      <c r="I250" s="14">
        <v>3</v>
      </c>
      <c r="J250" s="13" t="s">
        <v>60</v>
      </c>
      <c r="K250" s="14"/>
      <c r="L250" s="14">
        <v>1</v>
      </c>
      <c r="M250" s="14">
        <v>3</v>
      </c>
      <c r="N250" s="22" t="s">
        <v>123</v>
      </c>
      <c r="O250" s="13" t="s">
        <v>62</v>
      </c>
      <c r="P250" s="13" t="s">
        <v>1625</v>
      </c>
      <c r="Q250" s="13" t="s">
        <v>1632</v>
      </c>
      <c r="R250" s="13" t="b">
        <f>FALSE()</f>
        <v>0</v>
      </c>
      <c r="S250" s="13" t="b">
        <f>TRUE()</f>
        <v>1</v>
      </c>
      <c r="T250" s="18" t="s">
        <v>84</v>
      </c>
      <c r="U250" s="13" t="s">
        <v>1633</v>
      </c>
      <c r="V250" s="13" t="s">
        <v>348</v>
      </c>
      <c r="W250" s="19" t="s">
        <v>96</v>
      </c>
    </row>
    <row r="251" spans="1:23" ht="30">
      <c r="A251" s="13" t="s">
        <v>1634</v>
      </c>
      <c r="B251" s="13" t="s">
        <v>1635</v>
      </c>
      <c r="C251" s="13" t="s">
        <v>1636</v>
      </c>
      <c r="D251" s="13" t="s">
        <v>121</v>
      </c>
      <c r="E251" s="13" t="s">
        <v>1637</v>
      </c>
      <c r="F251" s="13" t="s">
        <v>59</v>
      </c>
      <c r="G251" s="14"/>
      <c r="H251" s="14">
        <v>1</v>
      </c>
      <c r="I251" s="14">
        <v>5</v>
      </c>
      <c r="J251" s="13" t="s">
        <v>60</v>
      </c>
      <c r="K251" s="14"/>
      <c r="L251" s="14">
        <v>1</v>
      </c>
      <c r="M251" s="14">
        <v>5</v>
      </c>
      <c r="N251" s="22" t="s">
        <v>123</v>
      </c>
      <c r="O251" s="13" t="s">
        <v>62</v>
      </c>
      <c r="P251" s="13" t="s">
        <v>1625</v>
      </c>
      <c r="Q251" s="13" t="s">
        <v>1638</v>
      </c>
      <c r="R251" s="13" t="b">
        <f>TRUE()</f>
        <v>1</v>
      </c>
      <c r="S251" s="13" t="b">
        <f>TRUE()</f>
        <v>1</v>
      </c>
      <c r="T251" s="23" t="s">
        <v>126</v>
      </c>
      <c r="U251" s="13" t="s">
        <v>1639</v>
      </c>
      <c r="V251" s="13" t="s">
        <v>348</v>
      </c>
      <c r="W251" s="19" t="s">
        <v>96</v>
      </c>
    </row>
    <row r="252" spans="1:23">
      <c r="A252" s="13" t="s">
        <v>1640</v>
      </c>
      <c r="B252" s="13" t="s">
        <v>1641</v>
      </c>
      <c r="C252" s="13" t="s">
        <v>1642</v>
      </c>
      <c r="D252" s="13" t="s">
        <v>121</v>
      </c>
      <c r="E252" s="13" t="s">
        <v>1643</v>
      </c>
      <c r="F252" s="13" t="s">
        <v>59</v>
      </c>
      <c r="G252" s="14">
        <v>0</v>
      </c>
      <c r="H252" s="14">
        <v>0.5</v>
      </c>
      <c r="I252" s="14">
        <v>3</v>
      </c>
      <c r="J252" s="13" t="s">
        <v>195</v>
      </c>
      <c r="K252" s="14">
        <v>0</v>
      </c>
      <c r="L252" s="14">
        <v>0.25</v>
      </c>
      <c r="M252" s="14">
        <v>1.5</v>
      </c>
      <c r="N252" s="15" t="s">
        <v>61</v>
      </c>
      <c r="O252" s="13" t="s">
        <v>62</v>
      </c>
      <c r="P252" s="13" t="s">
        <v>1644</v>
      </c>
      <c r="Q252" s="13" t="s">
        <v>1645</v>
      </c>
      <c r="R252" s="13" t="b">
        <f>FALSE()</f>
        <v>0</v>
      </c>
      <c r="S252" s="13" t="b">
        <f>FALSE()</f>
        <v>0</v>
      </c>
      <c r="T252" s="16" t="s">
        <v>65</v>
      </c>
      <c r="U252" s="13" t="s">
        <v>1646</v>
      </c>
      <c r="V252" s="13" t="s">
        <v>342</v>
      </c>
      <c r="W252" s="17" t="s">
        <v>67</v>
      </c>
    </row>
    <row r="253" spans="1:23" ht="30">
      <c r="A253" s="13" t="s">
        <v>1647</v>
      </c>
      <c r="B253" s="13" t="s">
        <v>1648</v>
      </c>
      <c r="C253" s="13" t="s">
        <v>1649</v>
      </c>
      <c r="D253" s="13" t="s">
        <v>212</v>
      </c>
      <c r="E253" s="13" t="s">
        <v>1650</v>
      </c>
      <c r="F253" s="13" t="s">
        <v>59</v>
      </c>
      <c r="G253" s="14">
        <v>0.5</v>
      </c>
      <c r="H253" s="14">
        <v>2</v>
      </c>
      <c r="I253" s="14">
        <v>8</v>
      </c>
      <c r="J253" s="13" t="s">
        <v>195</v>
      </c>
      <c r="K253" s="14">
        <v>0.25</v>
      </c>
      <c r="L253" s="14">
        <v>1</v>
      </c>
      <c r="M253" s="14">
        <v>4</v>
      </c>
      <c r="N253" s="18" t="s">
        <v>92</v>
      </c>
      <c r="O253" s="13" t="s">
        <v>562</v>
      </c>
      <c r="P253" s="13" t="s">
        <v>526</v>
      </c>
      <c r="Q253" s="13" t="s">
        <v>1651</v>
      </c>
      <c r="R253" s="13" t="b">
        <f>FALSE()</f>
        <v>0</v>
      </c>
      <c r="S253" s="13" t="b">
        <f>FALSE()</f>
        <v>0</v>
      </c>
      <c r="T253" s="18" t="s">
        <v>84</v>
      </c>
      <c r="U253" s="13" t="s">
        <v>1652</v>
      </c>
      <c r="V253" s="13" t="s">
        <v>342</v>
      </c>
      <c r="W253" s="20" t="s">
        <v>103</v>
      </c>
    </row>
    <row r="254" spans="1:23">
      <c r="A254" s="13" t="s">
        <v>1653</v>
      </c>
      <c r="B254" s="13" t="s">
        <v>1654</v>
      </c>
      <c r="C254" s="13" t="s">
        <v>1655</v>
      </c>
      <c r="D254" s="13" t="s">
        <v>1656</v>
      </c>
      <c r="E254" s="13" t="s">
        <v>1657</v>
      </c>
      <c r="F254" s="13" t="s">
        <v>59</v>
      </c>
      <c r="G254" s="14">
        <v>1</v>
      </c>
      <c r="H254" s="14">
        <v>5</v>
      </c>
      <c r="I254" s="14">
        <v>20</v>
      </c>
      <c r="J254" s="13" t="s">
        <v>493</v>
      </c>
      <c r="K254" s="14">
        <v>0.8</v>
      </c>
      <c r="L254" s="14">
        <v>4</v>
      </c>
      <c r="M254" s="14">
        <v>16</v>
      </c>
      <c r="N254" s="18" t="s">
        <v>92</v>
      </c>
      <c r="O254" s="13" t="s">
        <v>562</v>
      </c>
      <c r="P254" s="13" t="s">
        <v>1498</v>
      </c>
      <c r="Q254" s="13" t="s">
        <v>1658</v>
      </c>
      <c r="R254" s="13" t="b">
        <f>TRUE()</f>
        <v>1</v>
      </c>
      <c r="S254" s="13" t="b">
        <f>TRUE()</f>
        <v>1</v>
      </c>
      <c r="T254" s="18" t="s">
        <v>84</v>
      </c>
      <c r="U254" s="13" t="s">
        <v>1659</v>
      </c>
      <c r="V254" s="13" t="s">
        <v>342</v>
      </c>
      <c r="W254" s="21" t="s">
        <v>110</v>
      </c>
    </row>
    <row r="255" spans="1:23" ht="30">
      <c r="A255" s="13" t="s">
        <v>1660</v>
      </c>
      <c r="B255" s="13" t="s">
        <v>1661</v>
      </c>
      <c r="C255" s="13" t="s">
        <v>1662</v>
      </c>
      <c r="D255" s="13" t="s">
        <v>1452</v>
      </c>
      <c r="E255" s="13" t="s">
        <v>1663</v>
      </c>
      <c r="F255" s="13" t="s">
        <v>59</v>
      </c>
      <c r="G255" s="14">
        <v>1</v>
      </c>
      <c r="H255" s="14">
        <v>5</v>
      </c>
      <c r="I255" s="14">
        <v>20</v>
      </c>
      <c r="J255" s="13" t="s">
        <v>60</v>
      </c>
      <c r="K255" s="14">
        <v>1</v>
      </c>
      <c r="L255" s="14">
        <v>5</v>
      </c>
      <c r="M255" s="14">
        <v>20</v>
      </c>
      <c r="N255" s="18" t="s">
        <v>92</v>
      </c>
      <c r="O255" s="13" t="s">
        <v>562</v>
      </c>
      <c r="P255" s="13" t="s">
        <v>526</v>
      </c>
      <c r="Q255" s="13" t="s">
        <v>1664</v>
      </c>
      <c r="R255" s="13" t="b">
        <f>TRUE()</f>
        <v>1</v>
      </c>
      <c r="S255" s="13" t="b">
        <f>FALSE()</f>
        <v>0</v>
      </c>
      <c r="T255" s="18" t="s">
        <v>84</v>
      </c>
      <c r="U255" s="13" t="s">
        <v>1665</v>
      </c>
      <c r="V255" s="13" t="s">
        <v>342</v>
      </c>
      <c r="W255" s="21" t="s">
        <v>110</v>
      </c>
    </row>
    <row r="256" spans="1:23" ht="30">
      <c r="A256" s="13" t="s">
        <v>1666</v>
      </c>
      <c r="B256" s="13" t="s">
        <v>1667</v>
      </c>
      <c r="C256" s="13" t="s">
        <v>1668</v>
      </c>
      <c r="D256" s="13" t="s">
        <v>1669</v>
      </c>
      <c r="E256" s="13" t="s">
        <v>1670</v>
      </c>
      <c r="F256" s="13" t="s">
        <v>59</v>
      </c>
      <c r="G256" s="14"/>
      <c r="H256" s="14"/>
      <c r="I256" s="14"/>
      <c r="J256" s="13" t="s">
        <v>60</v>
      </c>
      <c r="K256" s="14"/>
      <c r="L256" s="14"/>
      <c r="M256" s="14"/>
      <c r="N256" s="24" t="s">
        <v>140</v>
      </c>
      <c r="O256" s="13" t="s">
        <v>562</v>
      </c>
      <c r="P256" s="13" t="s">
        <v>526</v>
      </c>
      <c r="Q256" s="13" t="s">
        <v>1671</v>
      </c>
      <c r="R256" s="13" t="b">
        <f>TRUE()</f>
        <v>1</v>
      </c>
      <c r="S256" s="13" t="b">
        <f>TRUE()</f>
        <v>1</v>
      </c>
      <c r="T256" s="23" t="s">
        <v>126</v>
      </c>
      <c r="U256" s="13" t="s">
        <v>1672</v>
      </c>
      <c r="V256" s="13" t="s">
        <v>342</v>
      </c>
      <c r="W256" s="19" t="s">
        <v>96</v>
      </c>
    </row>
    <row r="257" spans="1:23" ht="30">
      <c r="A257" s="13" t="s">
        <v>1673</v>
      </c>
      <c r="B257" s="13" t="s">
        <v>1674</v>
      </c>
      <c r="C257" s="13" t="s">
        <v>1675</v>
      </c>
      <c r="D257" s="13" t="s">
        <v>1676</v>
      </c>
      <c r="E257" s="13" t="s">
        <v>1677</v>
      </c>
      <c r="F257" s="13" t="s">
        <v>59</v>
      </c>
      <c r="G257" s="14">
        <v>1</v>
      </c>
      <c r="H257" s="14">
        <v>5</v>
      </c>
      <c r="I257" s="14">
        <v>30</v>
      </c>
      <c r="J257" s="13" t="s">
        <v>493</v>
      </c>
      <c r="K257" s="14">
        <v>0.8</v>
      </c>
      <c r="L257" s="14">
        <v>4</v>
      </c>
      <c r="M257" s="14">
        <v>24</v>
      </c>
      <c r="N257" s="24" t="s">
        <v>140</v>
      </c>
      <c r="O257" s="13" t="s">
        <v>562</v>
      </c>
      <c r="P257" s="13" t="s">
        <v>526</v>
      </c>
      <c r="Q257" s="13" t="s">
        <v>1678</v>
      </c>
      <c r="R257" s="13" t="b">
        <f>TRUE()</f>
        <v>1</v>
      </c>
      <c r="S257" s="13" t="b">
        <f>TRUE()</f>
        <v>1</v>
      </c>
      <c r="T257" s="23" t="s">
        <v>126</v>
      </c>
      <c r="U257" s="13" t="s">
        <v>1679</v>
      </c>
      <c r="V257" s="13" t="s">
        <v>342</v>
      </c>
      <c r="W257" s="21" t="s">
        <v>110</v>
      </c>
    </row>
    <row r="258" spans="1:23">
      <c r="A258" s="13" t="s">
        <v>1680</v>
      </c>
      <c r="B258" s="13" t="s">
        <v>1681</v>
      </c>
      <c r="C258" s="13" t="s">
        <v>1682</v>
      </c>
      <c r="D258" s="13" t="s">
        <v>121</v>
      </c>
      <c r="E258" s="13" t="s">
        <v>1683</v>
      </c>
      <c r="F258" s="13" t="s">
        <v>59</v>
      </c>
      <c r="G258" s="14">
        <v>10</v>
      </c>
      <c r="H258" s="14">
        <v>30</v>
      </c>
      <c r="I258" s="14">
        <v>65</v>
      </c>
      <c r="J258" s="13" t="s">
        <v>319</v>
      </c>
      <c r="K258" s="14">
        <v>12</v>
      </c>
      <c r="L258" s="14">
        <v>36</v>
      </c>
      <c r="M258" s="14">
        <v>78</v>
      </c>
      <c r="N258" s="15" t="s">
        <v>61</v>
      </c>
      <c r="O258" s="13" t="s">
        <v>62</v>
      </c>
      <c r="P258" s="13" t="s">
        <v>1684</v>
      </c>
      <c r="Q258" s="13" t="s">
        <v>1685</v>
      </c>
      <c r="R258" s="13" t="b">
        <f>FALSE()</f>
        <v>0</v>
      </c>
      <c r="S258" s="13" t="b">
        <f>TRUE()</f>
        <v>1</v>
      </c>
      <c r="T258" s="23" t="s">
        <v>126</v>
      </c>
      <c r="U258" s="13" t="s">
        <v>1686</v>
      </c>
      <c r="V258" s="13" t="s">
        <v>330</v>
      </c>
      <c r="W258" s="19" t="s">
        <v>96</v>
      </c>
    </row>
    <row r="259" spans="1:23">
      <c r="A259" s="13" t="s">
        <v>1687</v>
      </c>
      <c r="B259" s="13" t="s">
        <v>1688</v>
      </c>
      <c r="C259" s="13" t="s">
        <v>1689</v>
      </c>
      <c r="D259" s="13" t="s">
        <v>769</v>
      </c>
      <c r="E259" s="13" t="s">
        <v>1690</v>
      </c>
      <c r="F259" s="13" t="s">
        <v>59</v>
      </c>
      <c r="G259" s="14">
        <v>2</v>
      </c>
      <c r="H259" s="14">
        <v>10</v>
      </c>
      <c r="I259" s="14">
        <v>30</v>
      </c>
      <c r="J259" s="13" t="s">
        <v>1369</v>
      </c>
      <c r="K259" s="14">
        <v>1.2</v>
      </c>
      <c r="L259" s="14">
        <v>6</v>
      </c>
      <c r="M259" s="14">
        <v>18</v>
      </c>
      <c r="N259" s="18" t="s">
        <v>92</v>
      </c>
      <c r="O259" s="13" t="s">
        <v>562</v>
      </c>
      <c r="P259" s="13" t="s">
        <v>1543</v>
      </c>
      <c r="Q259" s="13" t="s">
        <v>1691</v>
      </c>
      <c r="R259" s="13" t="b">
        <f>TRUE()</f>
        <v>1</v>
      </c>
      <c r="S259" s="13" t="b">
        <f>TRUE()</f>
        <v>1</v>
      </c>
      <c r="T259" s="23" t="s">
        <v>126</v>
      </c>
      <c r="U259" s="13" t="s">
        <v>1692</v>
      </c>
      <c r="V259" s="13" t="s">
        <v>330</v>
      </c>
      <c r="W259" s="19" t="s">
        <v>96</v>
      </c>
    </row>
    <row r="260" spans="1:23" ht="30">
      <c r="A260" s="13" t="s">
        <v>1693</v>
      </c>
      <c r="B260" s="13" t="s">
        <v>1694</v>
      </c>
      <c r="C260" s="13" t="s">
        <v>1695</v>
      </c>
      <c r="D260" s="13" t="s">
        <v>1696</v>
      </c>
      <c r="E260" s="13" t="s">
        <v>1683</v>
      </c>
      <c r="F260" s="13" t="s">
        <v>59</v>
      </c>
      <c r="G260" s="14">
        <v>0.5</v>
      </c>
      <c r="H260" s="14">
        <v>3</v>
      </c>
      <c r="I260" s="14">
        <v>15</v>
      </c>
      <c r="J260" s="13" t="s">
        <v>319</v>
      </c>
      <c r="K260" s="14">
        <v>0.6</v>
      </c>
      <c r="L260" s="14">
        <v>3.6</v>
      </c>
      <c r="M260" s="14">
        <v>18</v>
      </c>
      <c r="N260" s="24" t="s">
        <v>140</v>
      </c>
      <c r="O260" s="13" t="s">
        <v>562</v>
      </c>
      <c r="P260" s="13" t="s">
        <v>526</v>
      </c>
      <c r="Q260" s="13" t="s">
        <v>1697</v>
      </c>
      <c r="R260" s="13" t="b">
        <f>FALSE()</f>
        <v>0</v>
      </c>
      <c r="S260" s="13" t="b">
        <f>TRUE()</f>
        <v>1</v>
      </c>
      <c r="T260" s="18" t="s">
        <v>84</v>
      </c>
      <c r="U260" s="13" t="s">
        <v>1698</v>
      </c>
      <c r="V260" s="13" t="s">
        <v>330</v>
      </c>
      <c r="W260" s="20" t="s">
        <v>103</v>
      </c>
    </row>
    <row r="261" spans="1:23" ht="30">
      <c r="A261" s="13" t="s">
        <v>1699</v>
      </c>
      <c r="B261" s="13" t="s">
        <v>1700</v>
      </c>
      <c r="C261" s="13" t="s">
        <v>1701</v>
      </c>
      <c r="D261" s="13" t="s">
        <v>1696</v>
      </c>
      <c r="E261" s="13" t="s">
        <v>1683</v>
      </c>
      <c r="F261" s="13" t="s">
        <v>59</v>
      </c>
      <c r="G261" s="14">
        <v>0.5</v>
      </c>
      <c r="H261" s="14">
        <v>3</v>
      </c>
      <c r="I261" s="14">
        <v>15</v>
      </c>
      <c r="J261" s="13" t="s">
        <v>319</v>
      </c>
      <c r="K261" s="14">
        <v>0.6</v>
      </c>
      <c r="L261" s="14">
        <v>3.6</v>
      </c>
      <c r="M261" s="14">
        <v>18</v>
      </c>
      <c r="N261" s="24" t="s">
        <v>140</v>
      </c>
      <c r="O261" s="13" t="s">
        <v>562</v>
      </c>
      <c r="P261" s="13" t="s">
        <v>526</v>
      </c>
      <c r="Q261" s="13" t="s">
        <v>1702</v>
      </c>
      <c r="R261" s="13" t="b">
        <f>FALSE()</f>
        <v>0</v>
      </c>
      <c r="S261" s="13" t="b">
        <f>TRUE()</f>
        <v>1</v>
      </c>
      <c r="T261" s="18" t="s">
        <v>84</v>
      </c>
      <c r="U261" s="13" t="s">
        <v>1698</v>
      </c>
      <c r="V261" s="13" t="s">
        <v>330</v>
      </c>
      <c r="W261" s="20" t="s">
        <v>103</v>
      </c>
    </row>
    <row r="262" spans="1:23" ht="30">
      <c r="A262" s="13" t="s">
        <v>1703</v>
      </c>
      <c r="B262" s="13" t="s">
        <v>1704</v>
      </c>
      <c r="C262" s="13" t="s">
        <v>1705</v>
      </c>
      <c r="D262" s="13" t="s">
        <v>121</v>
      </c>
      <c r="E262" s="13" t="s">
        <v>1706</v>
      </c>
      <c r="F262" s="13" t="s">
        <v>59</v>
      </c>
      <c r="G262" s="14">
        <v>1</v>
      </c>
      <c r="H262" s="14">
        <v>5</v>
      </c>
      <c r="I262" s="14">
        <v>15</v>
      </c>
      <c r="J262" s="13" t="s">
        <v>91</v>
      </c>
      <c r="K262" s="14">
        <v>0.3</v>
      </c>
      <c r="L262" s="14">
        <v>1.5</v>
      </c>
      <c r="M262" s="14">
        <v>4.5</v>
      </c>
      <c r="N262" s="18" t="s">
        <v>92</v>
      </c>
      <c r="O262" s="13" t="s">
        <v>562</v>
      </c>
      <c r="P262" s="13" t="s">
        <v>1707</v>
      </c>
      <c r="Q262" s="13" t="s">
        <v>1708</v>
      </c>
      <c r="R262" s="13" t="b">
        <f>FALSE()</f>
        <v>0</v>
      </c>
      <c r="S262" s="13" t="b">
        <f>TRUE()</f>
        <v>1</v>
      </c>
      <c r="T262" s="18" t="s">
        <v>84</v>
      </c>
      <c r="U262" s="13" t="s">
        <v>1709</v>
      </c>
      <c r="V262" s="13" t="s">
        <v>1710</v>
      </c>
      <c r="W262" s="20" t="s">
        <v>103</v>
      </c>
    </row>
    <row r="263" spans="1:23" ht="30">
      <c r="A263" s="13" t="s">
        <v>1711</v>
      </c>
      <c r="B263" s="13" t="s">
        <v>1712</v>
      </c>
      <c r="C263" s="13" t="s">
        <v>1713</v>
      </c>
      <c r="D263" s="13" t="s">
        <v>121</v>
      </c>
      <c r="E263" s="13" t="s">
        <v>1714</v>
      </c>
      <c r="F263" s="13" t="s">
        <v>59</v>
      </c>
      <c r="G263" s="14">
        <v>0.5</v>
      </c>
      <c r="H263" s="14">
        <v>3</v>
      </c>
      <c r="I263" s="14">
        <v>10</v>
      </c>
      <c r="J263" s="13" t="s">
        <v>132</v>
      </c>
      <c r="K263" s="14">
        <v>0.2</v>
      </c>
      <c r="L263" s="14">
        <v>1.2</v>
      </c>
      <c r="M263" s="14">
        <v>4</v>
      </c>
      <c r="N263" s="18" t="s">
        <v>92</v>
      </c>
      <c r="O263" s="13" t="s">
        <v>562</v>
      </c>
      <c r="P263" s="13" t="s">
        <v>526</v>
      </c>
      <c r="Q263" s="13" t="s">
        <v>1715</v>
      </c>
      <c r="R263" s="13" t="b">
        <f>FALSE()</f>
        <v>0</v>
      </c>
      <c r="S263" s="13" t="b">
        <f>TRUE()</f>
        <v>1</v>
      </c>
      <c r="T263" s="18" t="s">
        <v>84</v>
      </c>
      <c r="U263" s="13" t="s">
        <v>1716</v>
      </c>
      <c r="V263" s="13" t="s">
        <v>1710</v>
      </c>
      <c r="W263" s="20" t="s">
        <v>103</v>
      </c>
    </row>
    <row r="264" spans="1:23" ht="30">
      <c r="A264" s="13" t="s">
        <v>1717</v>
      </c>
      <c r="B264" s="13" t="s">
        <v>1718</v>
      </c>
      <c r="C264" s="13" t="s">
        <v>1719</v>
      </c>
      <c r="D264" s="13" t="s">
        <v>832</v>
      </c>
      <c r="E264" s="13" t="s">
        <v>1720</v>
      </c>
      <c r="F264" s="13" t="s">
        <v>59</v>
      </c>
      <c r="G264" s="14">
        <v>0.3</v>
      </c>
      <c r="H264" s="14">
        <v>2</v>
      </c>
      <c r="I264" s="14">
        <v>8</v>
      </c>
      <c r="J264" s="13" t="s">
        <v>91</v>
      </c>
      <c r="K264" s="14">
        <v>0.09</v>
      </c>
      <c r="L264" s="14">
        <v>0.6</v>
      </c>
      <c r="M264" s="14">
        <v>2.4</v>
      </c>
      <c r="N264" s="18" t="s">
        <v>92</v>
      </c>
      <c r="O264" s="13" t="s">
        <v>562</v>
      </c>
      <c r="P264" s="13" t="s">
        <v>526</v>
      </c>
      <c r="Q264" s="13" t="s">
        <v>1721</v>
      </c>
      <c r="R264" s="13" t="b">
        <f>FALSE()</f>
        <v>0</v>
      </c>
      <c r="S264" s="13" t="b">
        <f>FALSE()</f>
        <v>0</v>
      </c>
      <c r="T264" s="18" t="s">
        <v>84</v>
      </c>
      <c r="U264" s="13" t="s">
        <v>1722</v>
      </c>
      <c r="V264" s="13" t="s">
        <v>322</v>
      </c>
      <c r="W264" s="20" t="s">
        <v>103</v>
      </c>
    </row>
    <row r="265" spans="1:23" ht="30">
      <c r="A265" s="13" t="s">
        <v>1723</v>
      </c>
      <c r="B265" s="13" t="s">
        <v>1724</v>
      </c>
      <c r="C265" s="13" t="s">
        <v>1725</v>
      </c>
      <c r="D265" s="13" t="s">
        <v>1726</v>
      </c>
      <c r="E265" s="13" t="s">
        <v>1727</v>
      </c>
      <c r="F265" s="13" t="s">
        <v>59</v>
      </c>
      <c r="G265" s="14">
        <v>0.5</v>
      </c>
      <c r="H265" s="14">
        <v>3</v>
      </c>
      <c r="I265" s="14">
        <v>12</v>
      </c>
      <c r="J265" s="13" t="s">
        <v>91</v>
      </c>
      <c r="K265" s="14">
        <v>0.15</v>
      </c>
      <c r="L265" s="14">
        <v>0.9</v>
      </c>
      <c r="M265" s="14">
        <v>3.6</v>
      </c>
      <c r="N265" s="18" t="s">
        <v>92</v>
      </c>
      <c r="O265" s="13" t="s">
        <v>562</v>
      </c>
      <c r="P265" s="13" t="s">
        <v>526</v>
      </c>
      <c r="Q265" s="13" t="s">
        <v>1728</v>
      </c>
      <c r="R265" s="13" t="b">
        <f>FALSE()</f>
        <v>0</v>
      </c>
      <c r="S265" s="13" t="b">
        <f>TRUE()</f>
        <v>1</v>
      </c>
      <c r="T265" s="18" t="s">
        <v>84</v>
      </c>
      <c r="U265" s="13" t="s">
        <v>1729</v>
      </c>
      <c r="V265" s="13" t="s">
        <v>1710</v>
      </c>
      <c r="W265" s="20" t="s">
        <v>103</v>
      </c>
    </row>
    <row r="266" spans="1:23" ht="30">
      <c r="A266" s="13" t="s">
        <v>1730</v>
      </c>
      <c r="B266" s="13" t="s">
        <v>1731</v>
      </c>
      <c r="C266" s="13" t="s">
        <v>1732</v>
      </c>
      <c r="D266" s="13" t="s">
        <v>379</v>
      </c>
      <c r="E266" s="13" t="s">
        <v>1706</v>
      </c>
      <c r="F266" s="13" t="s">
        <v>59</v>
      </c>
      <c r="G266" s="14">
        <v>0.5</v>
      </c>
      <c r="H266" s="14">
        <v>3</v>
      </c>
      <c r="I266" s="14">
        <v>10</v>
      </c>
      <c r="J266" s="13" t="s">
        <v>132</v>
      </c>
      <c r="K266" s="14">
        <v>0.2</v>
      </c>
      <c r="L266" s="14">
        <v>1.2</v>
      </c>
      <c r="M266" s="14">
        <v>4</v>
      </c>
      <c r="N266" s="18" t="s">
        <v>92</v>
      </c>
      <c r="O266" s="13" t="s">
        <v>562</v>
      </c>
      <c r="P266" s="13" t="s">
        <v>526</v>
      </c>
      <c r="Q266" s="13" t="s">
        <v>1733</v>
      </c>
      <c r="R266" s="13" t="b">
        <f>FALSE()</f>
        <v>0</v>
      </c>
      <c r="S266" s="13" t="b">
        <f>TRUE()</f>
        <v>1</v>
      </c>
      <c r="T266" s="18" t="s">
        <v>84</v>
      </c>
      <c r="U266" s="13" t="s">
        <v>1734</v>
      </c>
      <c r="V266" s="13" t="s">
        <v>1710</v>
      </c>
      <c r="W266" s="20" t="s">
        <v>103</v>
      </c>
    </row>
    <row r="267" spans="1:23" ht="30">
      <c r="A267" s="13" t="s">
        <v>1735</v>
      </c>
      <c r="B267" s="13" t="s">
        <v>1736</v>
      </c>
      <c r="C267" s="13" t="s">
        <v>1737</v>
      </c>
      <c r="D267" s="13" t="s">
        <v>1738</v>
      </c>
      <c r="E267" s="13" t="s">
        <v>1739</v>
      </c>
      <c r="F267" s="13" t="s">
        <v>59</v>
      </c>
      <c r="G267" s="14">
        <v>2</v>
      </c>
      <c r="H267" s="14">
        <v>8</v>
      </c>
      <c r="I267" s="14">
        <v>30</v>
      </c>
      <c r="J267" s="13" t="s">
        <v>60</v>
      </c>
      <c r="K267" s="14">
        <v>2</v>
      </c>
      <c r="L267" s="14">
        <v>8</v>
      </c>
      <c r="M267" s="14">
        <v>30</v>
      </c>
      <c r="N267" s="24" t="s">
        <v>140</v>
      </c>
      <c r="O267" s="13" t="s">
        <v>562</v>
      </c>
      <c r="P267" s="13" t="s">
        <v>526</v>
      </c>
      <c r="Q267" s="13" t="s">
        <v>1740</v>
      </c>
      <c r="R267" s="13" t="b">
        <f>TRUE()</f>
        <v>1</v>
      </c>
      <c r="S267" s="13" t="b">
        <f>TRUE()</f>
        <v>1</v>
      </c>
      <c r="T267" s="18" t="s">
        <v>84</v>
      </c>
      <c r="U267" s="13" t="s">
        <v>1741</v>
      </c>
      <c r="V267" s="13" t="s">
        <v>330</v>
      </c>
      <c r="W267" s="19" t="s">
        <v>96</v>
      </c>
    </row>
    <row r="268" spans="1:23" ht="30">
      <c r="A268" s="13" t="s">
        <v>1742</v>
      </c>
      <c r="B268" s="13" t="s">
        <v>1743</v>
      </c>
      <c r="C268" s="13" t="s">
        <v>1744</v>
      </c>
      <c r="D268" s="13" t="s">
        <v>121</v>
      </c>
      <c r="E268" s="13" t="s">
        <v>1745</v>
      </c>
      <c r="F268" s="13" t="s">
        <v>59</v>
      </c>
      <c r="G268" s="14">
        <v>0</v>
      </c>
      <c r="H268" s="14">
        <v>0.3</v>
      </c>
      <c r="I268" s="14">
        <v>1</v>
      </c>
      <c r="J268" s="13" t="s">
        <v>91</v>
      </c>
      <c r="K268" s="14">
        <v>0</v>
      </c>
      <c r="L268" s="14">
        <v>0.09</v>
      </c>
      <c r="M268" s="14">
        <v>0.3</v>
      </c>
      <c r="N268" s="15" t="s">
        <v>61</v>
      </c>
      <c r="O268" s="13" t="s">
        <v>62</v>
      </c>
      <c r="P268" s="13" t="s">
        <v>526</v>
      </c>
      <c r="Q268" s="13" t="s">
        <v>1746</v>
      </c>
      <c r="R268" s="13" t="b">
        <f>FALSE()</f>
        <v>0</v>
      </c>
      <c r="S268" s="13" t="b">
        <f>FALSE()</f>
        <v>0</v>
      </c>
      <c r="T268" s="16" t="s">
        <v>65</v>
      </c>
      <c r="U268" s="13" t="s">
        <v>1747</v>
      </c>
      <c r="V268" s="13" t="s">
        <v>342</v>
      </c>
      <c r="W268" s="17" t="s">
        <v>67</v>
      </c>
    </row>
    <row r="269" spans="1:23" ht="30">
      <c r="A269" s="13" t="s">
        <v>1748</v>
      </c>
      <c r="B269" s="13" t="s">
        <v>1749</v>
      </c>
      <c r="C269" s="13" t="s">
        <v>1750</v>
      </c>
      <c r="D269" s="13" t="s">
        <v>121</v>
      </c>
      <c r="E269" s="13" t="s">
        <v>1751</v>
      </c>
      <c r="F269" s="13" t="s">
        <v>59</v>
      </c>
      <c r="G269" s="14">
        <v>0</v>
      </c>
      <c r="H269" s="14">
        <v>0.1</v>
      </c>
      <c r="I269" s="14">
        <v>0.5</v>
      </c>
      <c r="J269" s="13" t="s">
        <v>91</v>
      </c>
      <c r="K269" s="14">
        <v>0</v>
      </c>
      <c r="L269" s="14">
        <v>0.03</v>
      </c>
      <c r="M269" s="14">
        <v>0.15</v>
      </c>
      <c r="N269" s="15" t="s">
        <v>61</v>
      </c>
      <c r="O269" s="13" t="s">
        <v>62</v>
      </c>
      <c r="P269" s="13" t="s">
        <v>526</v>
      </c>
      <c r="Q269" s="13" t="s">
        <v>1752</v>
      </c>
      <c r="R269" s="13" t="b">
        <f>FALSE()</f>
        <v>0</v>
      </c>
      <c r="S269" s="13" t="b">
        <f>FALSE()</f>
        <v>0</v>
      </c>
      <c r="T269" s="16" t="s">
        <v>65</v>
      </c>
      <c r="U269" s="13" t="s">
        <v>1753</v>
      </c>
      <c r="V269" s="13" t="s">
        <v>342</v>
      </c>
      <c r="W269" s="17" t="s">
        <v>67</v>
      </c>
    </row>
    <row r="270" spans="1:23" ht="30">
      <c r="A270" s="13" t="s">
        <v>1754</v>
      </c>
      <c r="B270" s="13" t="s">
        <v>1755</v>
      </c>
      <c r="C270" s="13" t="s">
        <v>1756</v>
      </c>
      <c r="D270" s="13" t="s">
        <v>121</v>
      </c>
      <c r="E270" s="13" t="s">
        <v>1757</v>
      </c>
      <c r="F270" s="13" t="s">
        <v>59</v>
      </c>
      <c r="G270" s="14">
        <v>0</v>
      </c>
      <c r="H270" s="14">
        <v>0.1</v>
      </c>
      <c r="I270" s="14">
        <v>0.5</v>
      </c>
      <c r="J270" s="13" t="s">
        <v>91</v>
      </c>
      <c r="K270" s="14">
        <v>0</v>
      </c>
      <c r="L270" s="14">
        <v>0.03</v>
      </c>
      <c r="M270" s="14">
        <v>0.15</v>
      </c>
      <c r="N270" s="18" t="s">
        <v>92</v>
      </c>
      <c r="O270" s="13" t="s">
        <v>562</v>
      </c>
      <c r="P270" s="13" t="s">
        <v>526</v>
      </c>
      <c r="Q270" s="13" t="s">
        <v>1758</v>
      </c>
      <c r="R270" s="13" t="b">
        <f>FALSE()</f>
        <v>0</v>
      </c>
      <c r="S270" s="13" t="b">
        <f>FALSE()</f>
        <v>0</v>
      </c>
      <c r="T270" s="16" t="s">
        <v>65</v>
      </c>
      <c r="U270" s="13" t="s">
        <v>1759</v>
      </c>
      <c r="V270" s="13" t="s">
        <v>342</v>
      </c>
      <c r="W270" s="20" t="s">
        <v>103</v>
      </c>
    </row>
    <row r="271" spans="1:23" ht="30">
      <c r="A271" s="13" t="s">
        <v>1760</v>
      </c>
      <c r="B271" s="13" t="s">
        <v>1761</v>
      </c>
      <c r="C271" s="13" t="s">
        <v>1762</v>
      </c>
      <c r="D271" s="13" t="s">
        <v>121</v>
      </c>
      <c r="E271" s="13" t="s">
        <v>1763</v>
      </c>
      <c r="F271" s="13" t="s">
        <v>59</v>
      </c>
      <c r="G271" s="14">
        <v>0</v>
      </c>
      <c r="H271" s="14">
        <v>0.5</v>
      </c>
      <c r="I271" s="14">
        <v>2</v>
      </c>
      <c r="J271" s="13" t="s">
        <v>443</v>
      </c>
      <c r="K271" s="14">
        <v>0</v>
      </c>
      <c r="L271" s="14">
        <v>0.05</v>
      </c>
      <c r="M271" s="14">
        <v>0.2</v>
      </c>
      <c r="N271" s="18" t="s">
        <v>92</v>
      </c>
      <c r="O271" s="13" t="s">
        <v>562</v>
      </c>
      <c r="P271" s="13" t="s">
        <v>526</v>
      </c>
      <c r="Q271" s="13" t="s">
        <v>1764</v>
      </c>
      <c r="R271" s="13" t="b">
        <f>FALSE()</f>
        <v>0</v>
      </c>
      <c r="S271" s="13" t="b">
        <f>FALSE()</f>
        <v>0</v>
      </c>
      <c r="T271" s="16" t="s">
        <v>65</v>
      </c>
      <c r="U271" s="13" t="s">
        <v>1765</v>
      </c>
      <c r="V271" s="13" t="s">
        <v>342</v>
      </c>
      <c r="W271" s="20" t="s">
        <v>103</v>
      </c>
    </row>
    <row r="272" spans="1:23" ht="30">
      <c r="A272" s="13" t="s">
        <v>1766</v>
      </c>
      <c r="B272" s="13" t="s">
        <v>1767</v>
      </c>
      <c r="C272" s="13" t="s">
        <v>1768</v>
      </c>
      <c r="D272" s="13" t="s">
        <v>1769</v>
      </c>
      <c r="E272" s="13" t="s">
        <v>1770</v>
      </c>
      <c r="F272" s="13" t="s">
        <v>59</v>
      </c>
      <c r="G272" s="14">
        <v>500</v>
      </c>
      <c r="H272" s="14">
        <v>1500</v>
      </c>
      <c r="I272" s="14">
        <v>3000</v>
      </c>
      <c r="J272" s="13" t="s">
        <v>270</v>
      </c>
      <c r="K272" s="14">
        <v>25</v>
      </c>
      <c r="L272" s="14">
        <v>75</v>
      </c>
      <c r="M272" s="14">
        <v>150</v>
      </c>
      <c r="N272" s="22" t="s">
        <v>123</v>
      </c>
      <c r="O272" s="13" t="s">
        <v>62</v>
      </c>
      <c r="P272" s="13" t="s">
        <v>1771</v>
      </c>
      <c r="Q272" s="13" t="s">
        <v>1772</v>
      </c>
      <c r="R272" s="13" t="b">
        <f>TRUE()</f>
        <v>1</v>
      </c>
      <c r="S272" s="13" t="b">
        <f>TRUE()</f>
        <v>1</v>
      </c>
      <c r="T272" s="23" t="s">
        <v>126</v>
      </c>
      <c r="U272" s="13" t="s">
        <v>1773</v>
      </c>
      <c r="V272" s="13" t="s">
        <v>274</v>
      </c>
      <c r="W272" s="19" t="s">
        <v>96</v>
      </c>
    </row>
    <row r="273" spans="1:23" ht="30">
      <c r="A273" s="13" t="s">
        <v>1774</v>
      </c>
      <c r="B273" s="13" t="s">
        <v>1775</v>
      </c>
      <c r="C273" s="13" t="s">
        <v>1776</v>
      </c>
      <c r="D273" s="13" t="s">
        <v>575</v>
      </c>
      <c r="E273" s="13" t="s">
        <v>1777</v>
      </c>
      <c r="F273" s="13" t="s">
        <v>59</v>
      </c>
      <c r="G273" s="14">
        <v>400</v>
      </c>
      <c r="H273" s="14">
        <v>1200</v>
      </c>
      <c r="I273" s="14">
        <v>2500</v>
      </c>
      <c r="J273" s="13" t="s">
        <v>270</v>
      </c>
      <c r="K273" s="14">
        <v>20</v>
      </c>
      <c r="L273" s="14">
        <v>60</v>
      </c>
      <c r="M273" s="14">
        <v>125</v>
      </c>
      <c r="N273" s="22" t="s">
        <v>123</v>
      </c>
      <c r="O273" s="13" t="s">
        <v>62</v>
      </c>
      <c r="P273" s="13" t="s">
        <v>1771</v>
      </c>
      <c r="Q273" s="13" t="s">
        <v>1778</v>
      </c>
      <c r="R273" s="13" t="b">
        <f>TRUE()</f>
        <v>1</v>
      </c>
      <c r="S273" s="13" t="b">
        <f>TRUE()</f>
        <v>1</v>
      </c>
      <c r="T273" s="23" t="s">
        <v>126</v>
      </c>
      <c r="U273" s="13" t="s">
        <v>1779</v>
      </c>
      <c r="V273" s="13" t="s">
        <v>274</v>
      </c>
      <c r="W273" s="19" t="s">
        <v>96</v>
      </c>
    </row>
    <row r="274" spans="1:23" ht="30">
      <c r="A274" s="13" t="s">
        <v>1780</v>
      </c>
      <c r="B274" s="13" t="s">
        <v>1781</v>
      </c>
      <c r="C274" s="13" t="s">
        <v>1782</v>
      </c>
      <c r="D274" s="13" t="s">
        <v>1201</v>
      </c>
      <c r="E274" s="13" t="s">
        <v>1783</v>
      </c>
      <c r="F274" s="13" t="s">
        <v>59</v>
      </c>
      <c r="G274" s="14">
        <v>400</v>
      </c>
      <c r="H274" s="14">
        <v>1200</v>
      </c>
      <c r="I274" s="14">
        <v>2500</v>
      </c>
      <c r="J274" s="13" t="s">
        <v>270</v>
      </c>
      <c r="K274" s="14">
        <v>20</v>
      </c>
      <c r="L274" s="14">
        <v>60</v>
      </c>
      <c r="M274" s="14">
        <v>125</v>
      </c>
      <c r="N274" s="22" t="s">
        <v>123</v>
      </c>
      <c r="O274" s="13" t="s">
        <v>62</v>
      </c>
      <c r="P274" s="13" t="s">
        <v>1771</v>
      </c>
      <c r="Q274" s="13" t="s">
        <v>1784</v>
      </c>
      <c r="R274" s="13" t="b">
        <f>TRUE()</f>
        <v>1</v>
      </c>
      <c r="S274" s="13" t="b">
        <f>TRUE()</f>
        <v>1</v>
      </c>
      <c r="T274" s="23" t="s">
        <v>126</v>
      </c>
      <c r="U274" s="13" t="s">
        <v>1785</v>
      </c>
      <c r="V274" s="13" t="s">
        <v>274</v>
      </c>
      <c r="W274" s="19" t="s">
        <v>96</v>
      </c>
    </row>
    <row r="275" spans="1:23" ht="30">
      <c r="A275" s="13" t="s">
        <v>1786</v>
      </c>
      <c r="B275" s="13" t="s">
        <v>1787</v>
      </c>
      <c r="C275" s="13" t="s">
        <v>1788</v>
      </c>
      <c r="D275" s="13" t="s">
        <v>121</v>
      </c>
      <c r="E275" s="13" t="s">
        <v>1789</v>
      </c>
      <c r="F275" s="13" t="s">
        <v>59</v>
      </c>
      <c r="G275" s="14">
        <v>0</v>
      </c>
      <c r="H275" s="14">
        <v>2</v>
      </c>
      <c r="I275" s="14">
        <v>10</v>
      </c>
      <c r="J275" s="13" t="s">
        <v>270</v>
      </c>
      <c r="K275" s="14">
        <v>0</v>
      </c>
      <c r="L275" s="14">
        <v>0.1</v>
      </c>
      <c r="M275" s="14">
        <v>0.5</v>
      </c>
      <c r="N275" s="15" t="s">
        <v>61</v>
      </c>
      <c r="O275" s="13" t="s">
        <v>62</v>
      </c>
      <c r="P275" s="13" t="s">
        <v>526</v>
      </c>
      <c r="Q275" s="13" t="s">
        <v>1790</v>
      </c>
      <c r="R275" s="13" t="b">
        <f>FALSE()</f>
        <v>0</v>
      </c>
      <c r="S275" s="13" t="b">
        <f>FALSE()</f>
        <v>0</v>
      </c>
      <c r="T275" s="16" t="s">
        <v>65</v>
      </c>
      <c r="U275" s="13" t="s">
        <v>1791</v>
      </c>
      <c r="V275" s="13" t="s">
        <v>342</v>
      </c>
      <c r="W275" s="17" t="s">
        <v>67</v>
      </c>
    </row>
    <row r="276" spans="1:23" ht="30">
      <c r="A276" s="13" t="s">
        <v>1792</v>
      </c>
      <c r="B276" s="13" t="s">
        <v>1793</v>
      </c>
      <c r="C276" s="13" t="s">
        <v>1794</v>
      </c>
      <c r="D276" s="13" t="s">
        <v>742</v>
      </c>
      <c r="E276" s="13" t="s">
        <v>1795</v>
      </c>
      <c r="F276" s="13" t="s">
        <v>59</v>
      </c>
      <c r="G276" s="14">
        <v>200</v>
      </c>
      <c r="H276" s="14">
        <v>500</v>
      </c>
      <c r="I276" s="14">
        <v>1200</v>
      </c>
      <c r="J276" s="13" t="s">
        <v>270</v>
      </c>
      <c r="K276" s="14">
        <v>10</v>
      </c>
      <c r="L276" s="14">
        <v>25</v>
      </c>
      <c r="M276" s="14">
        <v>60</v>
      </c>
      <c r="N276" s="15" t="s">
        <v>61</v>
      </c>
      <c r="O276" s="13" t="s">
        <v>62</v>
      </c>
      <c r="P276" s="13" t="s">
        <v>1771</v>
      </c>
      <c r="Q276" s="13" t="s">
        <v>1796</v>
      </c>
      <c r="R276" s="13" t="b">
        <f>TRUE()</f>
        <v>1</v>
      </c>
      <c r="S276" s="13" t="b">
        <f>TRUE()</f>
        <v>1</v>
      </c>
      <c r="T276" s="23" t="s">
        <v>126</v>
      </c>
      <c r="U276" s="13" t="s">
        <v>1797</v>
      </c>
      <c r="V276" s="13" t="s">
        <v>274</v>
      </c>
      <c r="W276" s="19" t="s">
        <v>96</v>
      </c>
    </row>
    <row r="277" spans="1:23">
      <c r="A277" s="13" t="s">
        <v>1798</v>
      </c>
      <c r="B277" s="13" t="s">
        <v>1799</v>
      </c>
      <c r="C277" s="13" t="s">
        <v>1800</v>
      </c>
      <c r="D277" s="13" t="s">
        <v>742</v>
      </c>
      <c r="E277" s="13" t="s">
        <v>1801</v>
      </c>
      <c r="F277" s="13" t="s">
        <v>59</v>
      </c>
      <c r="G277" s="14">
        <v>1</v>
      </c>
      <c r="H277" s="14">
        <v>5</v>
      </c>
      <c r="I277" s="14">
        <v>20</v>
      </c>
      <c r="J277" s="13" t="s">
        <v>270</v>
      </c>
      <c r="K277" s="14">
        <v>0.05</v>
      </c>
      <c r="L277" s="14">
        <v>0.25</v>
      </c>
      <c r="M277" s="14">
        <v>1</v>
      </c>
      <c r="N277" s="18" t="s">
        <v>92</v>
      </c>
      <c r="O277" s="13" t="s">
        <v>562</v>
      </c>
      <c r="P277" s="13" t="s">
        <v>1802</v>
      </c>
      <c r="Q277" s="13" t="s">
        <v>1803</v>
      </c>
      <c r="R277" s="13" t="b">
        <f>FALSE()</f>
        <v>0</v>
      </c>
      <c r="S277" s="13" t="b">
        <f>FALSE()</f>
        <v>0</v>
      </c>
      <c r="T277" s="18" t="s">
        <v>84</v>
      </c>
      <c r="U277" s="13" t="s">
        <v>1804</v>
      </c>
      <c r="V277" s="13" t="s">
        <v>342</v>
      </c>
      <c r="W277" s="20" t="s">
        <v>103</v>
      </c>
    </row>
    <row r="278" spans="1:23">
      <c r="A278" s="13" t="s">
        <v>1805</v>
      </c>
      <c r="B278" s="13" t="s">
        <v>1806</v>
      </c>
      <c r="C278" s="13" t="s">
        <v>1807</v>
      </c>
      <c r="D278" s="13" t="s">
        <v>121</v>
      </c>
      <c r="E278" s="13" t="s">
        <v>1808</v>
      </c>
      <c r="F278" s="13" t="s">
        <v>59</v>
      </c>
      <c r="G278" s="14">
        <v>0.5</v>
      </c>
      <c r="H278" s="14">
        <v>3</v>
      </c>
      <c r="I278" s="14">
        <v>15</v>
      </c>
      <c r="J278" s="13" t="s">
        <v>270</v>
      </c>
      <c r="K278" s="14">
        <v>2.5000000000000001E-2</v>
      </c>
      <c r="L278" s="14">
        <v>0.15</v>
      </c>
      <c r="M278" s="14">
        <v>0.75</v>
      </c>
      <c r="N278" s="15" t="s">
        <v>61</v>
      </c>
      <c r="O278" s="13" t="s">
        <v>62</v>
      </c>
      <c r="P278" s="13" t="s">
        <v>1802</v>
      </c>
      <c r="Q278" s="13" t="s">
        <v>1809</v>
      </c>
      <c r="R278" s="13" t="b">
        <f>FALSE()</f>
        <v>0</v>
      </c>
      <c r="S278" s="13" t="b">
        <f>FALSE()</f>
        <v>0</v>
      </c>
      <c r="T278" s="18" t="s">
        <v>84</v>
      </c>
      <c r="U278" s="13" t="s">
        <v>1810</v>
      </c>
      <c r="V278" s="13" t="s">
        <v>342</v>
      </c>
      <c r="W278" s="17" t="s">
        <v>67</v>
      </c>
    </row>
    <row r="279" spans="1:23" ht="30">
      <c r="A279" s="13" t="s">
        <v>1811</v>
      </c>
      <c r="B279" s="13" t="s">
        <v>1812</v>
      </c>
      <c r="C279" s="13" t="s">
        <v>1813</v>
      </c>
      <c r="D279" s="13" t="s">
        <v>121</v>
      </c>
      <c r="E279" s="13" t="s">
        <v>1814</v>
      </c>
      <c r="F279" s="13" t="s">
        <v>59</v>
      </c>
      <c r="G279" s="14">
        <v>1</v>
      </c>
      <c r="H279" s="14">
        <v>5</v>
      </c>
      <c r="I279" s="14">
        <v>20</v>
      </c>
      <c r="J279" s="13" t="s">
        <v>443</v>
      </c>
      <c r="K279" s="14">
        <v>0.1</v>
      </c>
      <c r="L279" s="14">
        <v>0.5</v>
      </c>
      <c r="M279" s="14">
        <v>2</v>
      </c>
      <c r="N279" s="18" t="s">
        <v>92</v>
      </c>
      <c r="O279" s="13" t="s">
        <v>562</v>
      </c>
      <c r="P279" s="13" t="s">
        <v>526</v>
      </c>
      <c r="Q279" s="13" t="s">
        <v>1815</v>
      </c>
      <c r="R279" s="13" t="b">
        <f>FALSE()</f>
        <v>0</v>
      </c>
      <c r="S279" s="13" t="b">
        <f>FALSE()</f>
        <v>0</v>
      </c>
      <c r="T279" s="18" t="s">
        <v>84</v>
      </c>
      <c r="U279" s="13" t="s">
        <v>1816</v>
      </c>
      <c r="V279" s="13" t="s">
        <v>342</v>
      </c>
      <c r="W279" s="20" t="s">
        <v>103</v>
      </c>
    </row>
    <row r="280" spans="1:23">
      <c r="A280" s="13" t="s">
        <v>1817</v>
      </c>
      <c r="B280" s="13" t="s">
        <v>1818</v>
      </c>
      <c r="C280" s="13" t="s">
        <v>1819</v>
      </c>
      <c r="D280" s="13" t="s">
        <v>121</v>
      </c>
      <c r="E280" s="13" t="s">
        <v>1820</v>
      </c>
      <c r="F280" s="13" t="s">
        <v>80</v>
      </c>
      <c r="G280" s="14">
        <v>0</v>
      </c>
      <c r="H280" s="14">
        <v>7.0000000000000007E-2</v>
      </c>
      <c r="I280" s="14">
        <v>0.35</v>
      </c>
      <c r="J280" s="13" t="s">
        <v>279</v>
      </c>
      <c r="K280" s="14">
        <v>0</v>
      </c>
      <c r="L280" s="14">
        <v>0.23100000000000001</v>
      </c>
      <c r="M280" s="14">
        <v>1.155</v>
      </c>
      <c r="N280" s="22" t="s">
        <v>123</v>
      </c>
      <c r="O280" s="13" t="s">
        <v>62</v>
      </c>
      <c r="P280" s="13" t="s">
        <v>280</v>
      </c>
      <c r="Q280" s="13" t="s">
        <v>1821</v>
      </c>
      <c r="R280" s="13" t="b">
        <f>FALSE()</f>
        <v>0</v>
      </c>
      <c r="S280" s="13" t="b">
        <f>FALSE()</f>
        <v>0</v>
      </c>
      <c r="T280" s="16" t="s">
        <v>65</v>
      </c>
      <c r="U280" s="13" t="s">
        <v>1822</v>
      </c>
      <c r="V280" s="13" t="s">
        <v>282</v>
      </c>
      <c r="W280" s="17" t="s">
        <v>67</v>
      </c>
    </row>
    <row r="281" spans="1:23">
      <c r="A281" s="13" t="s">
        <v>1823</v>
      </c>
      <c r="B281" s="13" t="s">
        <v>1824</v>
      </c>
      <c r="C281" s="13" t="s">
        <v>1825</v>
      </c>
      <c r="D281" s="13" t="s">
        <v>121</v>
      </c>
      <c r="E281" s="13" t="s">
        <v>1826</v>
      </c>
      <c r="F281" s="13" t="s">
        <v>80</v>
      </c>
      <c r="G281" s="14">
        <v>1</v>
      </c>
      <c r="H281" s="14">
        <v>5</v>
      </c>
      <c r="I281" s="14">
        <v>15</v>
      </c>
      <c r="J281" s="13" t="s">
        <v>279</v>
      </c>
      <c r="K281" s="14">
        <v>3.3</v>
      </c>
      <c r="L281" s="14">
        <v>16.5</v>
      </c>
      <c r="M281" s="14">
        <v>49.5</v>
      </c>
      <c r="N281" s="15" t="s">
        <v>61</v>
      </c>
      <c r="O281" s="13" t="s">
        <v>62</v>
      </c>
      <c r="P281" s="13" t="s">
        <v>280</v>
      </c>
      <c r="Q281" s="13" t="s">
        <v>1827</v>
      </c>
      <c r="R281" s="13" t="b">
        <f>TRUE()</f>
        <v>1</v>
      </c>
      <c r="S281" s="13" t="b">
        <f>TRUE()</f>
        <v>1</v>
      </c>
      <c r="T281" s="23" t="s">
        <v>126</v>
      </c>
      <c r="U281" s="13" t="s">
        <v>1828</v>
      </c>
      <c r="V281" s="13" t="s">
        <v>288</v>
      </c>
      <c r="W281" s="19" t="s">
        <v>96</v>
      </c>
    </row>
    <row r="282" spans="1:23">
      <c r="A282" s="13" t="s">
        <v>1829</v>
      </c>
      <c r="B282" s="13" t="s">
        <v>1830</v>
      </c>
      <c r="C282" s="13" t="s">
        <v>1831</v>
      </c>
      <c r="D282" s="13" t="s">
        <v>1201</v>
      </c>
      <c r="E282" s="13" t="s">
        <v>1832</v>
      </c>
      <c r="F282" s="13" t="s">
        <v>80</v>
      </c>
      <c r="G282" s="14">
        <v>1</v>
      </c>
      <c r="H282" s="14">
        <v>4</v>
      </c>
      <c r="I282" s="14">
        <v>12</v>
      </c>
      <c r="J282" s="13" t="s">
        <v>279</v>
      </c>
      <c r="K282" s="14">
        <v>3.3</v>
      </c>
      <c r="L282" s="14">
        <v>13.2</v>
      </c>
      <c r="M282" s="14">
        <v>39.6</v>
      </c>
      <c r="N282" s="18" t="s">
        <v>92</v>
      </c>
      <c r="O282" s="13" t="s">
        <v>562</v>
      </c>
      <c r="P282" s="13" t="s">
        <v>280</v>
      </c>
      <c r="Q282" s="13" t="s">
        <v>1833</v>
      </c>
      <c r="R282" s="13" t="b">
        <f>TRUE()</f>
        <v>1</v>
      </c>
      <c r="S282" s="13" t="b">
        <f>TRUE()</f>
        <v>1</v>
      </c>
      <c r="T282" s="18" t="s">
        <v>84</v>
      </c>
      <c r="U282" s="13" t="s">
        <v>1834</v>
      </c>
      <c r="V282" s="13" t="s">
        <v>288</v>
      </c>
      <c r="W282" s="19" t="s">
        <v>96</v>
      </c>
    </row>
    <row r="283" spans="1:23">
      <c r="A283" s="13" t="s">
        <v>1835</v>
      </c>
      <c r="B283" s="13" t="s">
        <v>1836</v>
      </c>
      <c r="C283" s="13" t="s">
        <v>1837</v>
      </c>
      <c r="D283" s="13" t="s">
        <v>1838</v>
      </c>
      <c r="E283" s="13" t="s">
        <v>1839</v>
      </c>
      <c r="F283" s="13" t="s">
        <v>80</v>
      </c>
      <c r="G283" s="14">
        <v>1</v>
      </c>
      <c r="H283" s="14">
        <v>4</v>
      </c>
      <c r="I283" s="14">
        <v>12</v>
      </c>
      <c r="J283" s="13" t="s">
        <v>279</v>
      </c>
      <c r="K283" s="14">
        <v>3.3</v>
      </c>
      <c r="L283" s="14">
        <v>13.2</v>
      </c>
      <c r="M283" s="14">
        <v>39.6</v>
      </c>
      <c r="N283" s="18" t="s">
        <v>92</v>
      </c>
      <c r="O283" s="13" t="s">
        <v>562</v>
      </c>
      <c r="P283" s="13" t="s">
        <v>280</v>
      </c>
      <c r="Q283" s="13" t="s">
        <v>1840</v>
      </c>
      <c r="R283" s="13" t="b">
        <f>TRUE()</f>
        <v>1</v>
      </c>
      <c r="S283" s="13" t="b">
        <f>TRUE()</f>
        <v>1</v>
      </c>
      <c r="T283" s="18" t="s">
        <v>84</v>
      </c>
      <c r="U283" s="13" t="s">
        <v>1841</v>
      </c>
      <c r="V283" s="13" t="s">
        <v>288</v>
      </c>
      <c r="W283" s="19" t="s">
        <v>96</v>
      </c>
    </row>
    <row r="284" spans="1:23">
      <c r="A284" s="13" t="s">
        <v>1842</v>
      </c>
      <c r="B284" s="13" t="s">
        <v>1843</v>
      </c>
      <c r="C284" s="13" t="s">
        <v>1844</v>
      </c>
      <c r="D284" s="13" t="s">
        <v>1838</v>
      </c>
      <c r="E284" s="13" t="s">
        <v>1845</v>
      </c>
      <c r="F284" s="13" t="s">
        <v>80</v>
      </c>
      <c r="G284" s="14">
        <v>2</v>
      </c>
      <c r="H284" s="14">
        <v>6</v>
      </c>
      <c r="I284" s="14">
        <v>20</v>
      </c>
      <c r="J284" s="13" t="s">
        <v>279</v>
      </c>
      <c r="K284" s="14">
        <v>6.6</v>
      </c>
      <c r="L284" s="14">
        <v>19.8</v>
      </c>
      <c r="M284" s="14">
        <v>66</v>
      </c>
      <c r="N284" s="18" t="s">
        <v>92</v>
      </c>
      <c r="O284" s="13" t="s">
        <v>562</v>
      </c>
      <c r="P284" s="13" t="s">
        <v>280</v>
      </c>
      <c r="Q284" s="13" t="s">
        <v>1846</v>
      </c>
      <c r="R284" s="13" t="b">
        <f>TRUE()</f>
        <v>1</v>
      </c>
      <c r="S284" s="13" t="b">
        <f>TRUE()</f>
        <v>1</v>
      </c>
      <c r="T284" s="23" t="s">
        <v>126</v>
      </c>
      <c r="U284" s="13" t="s">
        <v>1847</v>
      </c>
      <c r="V284" s="13" t="s">
        <v>288</v>
      </c>
      <c r="W284" s="19" t="s">
        <v>96</v>
      </c>
    </row>
    <row r="285" spans="1:23">
      <c r="A285" s="13" t="s">
        <v>1848</v>
      </c>
      <c r="B285" s="13" t="s">
        <v>1849</v>
      </c>
      <c r="C285" s="13" t="s">
        <v>1850</v>
      </c>
      <c r="D285" s="13" t="s">
        <v>1851</v>
      </c>
      <c r="E285" s="13" t="s">
        <v>1852</v>
      </c>
      <c r="F285" s="13" t="s">
        <v>80</v>
      </c>
      <c r="G285" s="14">
        <v>1</v>
      </c>
      <c r="H285" s="14">
        <v>5</v>
      </c>
      <c r="I285" s="14">
        <v>15</v>
      </c>
      <c r="J285" s="13" t="s">
        <v>279</v>
      </c>
      <c r="K285" s="14">
        <v>3.3</v>
      </c>
      <c r="L285" s="14">
        <v>16.5</v>
      </c>
      <c r="M285" s="14">
        <v>49.5</v>
      </c>
      <c r="N285" s="24" t="s">
        <v>140</v>
      </c>
      <c r="O285" s="13" t="s">
        <v>562</v>
      </c>
      <c r="P285" s="13" t="s">
        <v>280</v>
      </c>
      <c r="Q285" s="13" t="s">
        <v>1853</v>
      </c>
      <c r="R285" s="13" t="b">
        <f>TRUE()</f>
        <v>1</v>
      </c>
      <c r="S285" s="13" t="b">
        <f>TRUE()</f>
        <v>1</v>
      </c>
      <c r="T285" s="23" t="s">
        <v>126</v>
      </c>
      <c r="U285" s="13" t="s">
        <v>1854</v>
      </c>
      <c r="V285" s="13" t="s">
        <v>288</v>
      </c>
      <c r="W285" s="19" t="s">
        <v>96</v>
      </c>
    </row>
    <row r="286" spans="1:23">
      <c r="A286" s="13" t="s">
        <v>1855</v>
      </c>
      <c r="B286" s="13" t="s">
        <v>1856</v>
      </c>
      <c r="C286" s="13" t="s">
        <v>1857</v>
      </c>
      <c r="D286" s="13" t="s">
        <v>121</v>
      </c>
      <c r="E286" s="13" t="s">
        <v>1858</v>
      </c>
      <c r="F286" s="13" t="s">
        <v>80</v>
      </c>
      <c r="G286" s="14">
        <v>0</v>
      </c>
      <c r="H286" s="14">
        <v>0.05</v>
      </c>
      <c r="I286" s="14">
        <v>0.2</v>
      </c>
      <c r="J286" s="13" t="s">
        <v>279</v>
      </c>
      <c r="K286" s="14">
        <v>0</v>
      </c>
      <c r="L286" s="14">
        <v>0.16500000000000001</v>
      </c>
      <c r="M286" s="14">
        <v>0.66</v>
      </c>
      <c r="N286" s="18" t="s">
        <v>92</v>
      </c>
      <c r="O286" s="13" t="s">
        <v>562</v>
      </c>
      <c r="P286" s="13" t="s">
        <v>280</v>
      </c>
      <c r="Q286" s="13" t="s">
        <v>1859</v>
      </c>
      <c r="R286" s="13" t="b">
        <f>FALSE()</f>
        <v>0</v>
      </c>
      <c r="S286" s="13" t="b">
        <f>FALSE()</f>
        <v>0</v>
      </c>
      <c r="T286" s="16" t="s">
        <v>65</v>
      </c>
      <c r="U286" s="13" t="s">
        <v>1860</v>
      </c>
      <c r="V286" s="13" t="s">
        <v>282</v>
      </c>
      <c r="W286" s="20" t="s">
        <v>103</v>
      </c>
    </row>
    <row r="287" spans="1:23">
      <c r="A287" s="13" t="s">
        <v>1861</v>
      </c>
      <c r="B287" s="13" t="s">
        <v>1862</v>
      </c>
      <c r="C287" s="13" t="s">
        <v>1863</v>
      </c>
      <c r="D287" s="13" t="s">
        <v>1864</v>
      </c>
      <c r="E287" s="13" t="s">
        <v>1865</v>
      </c>
      <c r="F287" s="13" t="s">
        <v>80</v>
      </c>
      <c r="G287" s="14">
        <v>0</v>
      </c>
      <c r="H287" s="14">
        <v>0.8</v>
      </c>
      <c r="I287" s="14">
        <v>3</v>
      </c>
      <c r="J287" s="13" t="s">
        <v>293</v>
      </c>
      <c r="K287" s="14">
        <v>0</v>
      </c>
      <c r="L287" s="14">
        <v>1.2</v>
      </c>
      <c r="M287" s="14">
        <v>4.5</v>
      </c>
      <c r="N287" s="15" t="s">
        <v>61</v>
      </c>
      <c r="O287" s="13" t="s">
        <v>62</v>
      </c>
      <c r="P287" s="13" t="s">
        <v>1866</v>
      </c>
      <c r="Q287" s="13" t="s">
        <v>1867</v>
      </c>
      <c r="R287" s="13" t="b">
        <f>TRUE()</f>
        <v>1</v>
      </c>
      <c r="S287" s="13" t="b">
        <f>TRUE()</f>
        <v>1</v>
      </c>
      <c r="T287" s="16" t="s">
        <v>65</v>
      </c>
      <c r="U287" s="13" t="s">
        <v>1868</v>
      </c>
      <c r="V287" s="13" t="s">
        <v>296</v>
      </c>
      <c r="W287" s="20" t="s">
        <v>103</v>
      </c>
    </row>
    <row r="288" spans="1:23" ht="30">
      <c r="A288" s="13" t="s">
        <v>1869</v>
      </c>
      <c r="B288" s="13" t="s">
        <v>1870</v>
      </c>
      <c r="C288" s="13" t="s">
        <v>1871</v>
      </c>
      <c r="D288" s="13" t="s">
        <v>114</v>
      </c>
      <c r="E288" s="13" t="s">
        <v>1872</v>
      </c>
      <c r="F288" s="13" t="s">
        <v>80</v>
      </c>
      <c r="G288" s="14">
        <v>0.5</v>
      </c>
      <c r="H288" s="14">
        <v>2</v>
      </c>
      <c r="I288" s="14">
        <v>5</v>
      </c>
      <c r="J288" s="13" t="s">
        <v>293</v>
      </c>
      <c r="K288" s="14">
        <v>0.75</v>
      </c>
      <c r="L288" s="14">
        <v>3</v>
      </c>
      <c r="M288" s="14">
        <v>7.5</v>
      </c>
      <c r="N288" s="15" t="s">
        <v>61</v>
      </c>
      <c r="O288" s="13" t="s">
        <v>62</v>
      </c>
      <c r="P288" s="13" t="s">
        <v>1707</v>
      </c>
      <c r="Q288" s="13" t="s">
        <v>1873</v>
      </c>
      <c r="R288" s="13" t="b">
        <f>TRUE()</f>
        <v>1</v>
      </c>
      <c r="S288" s="13" t="b">
        <f>TRUE()</f>
        <v>1</v>
      </c>
      <c r="T288" s="18" t="s">
        <v>84</v>
      </c>
      <c r="U288" s="13" t="s">
        <v>1874</v>
      </c>
      <c r="V288" s="13" t="s">
        <v>296</v>
      </c>
      <c r="W288" s="20" t="s">
        <v>103</v>
      </c>
    </row>
    <row r="289" spans="1:23" ht="30">
      <c r="A289" s="13" t="s">
        <v>1875</v>
      </c>
      <c r="B289" s="13" t="s">
        <v>1876</v>
      </c>
      <c r="C289" s="13" t="s">
        <v>1877</v>
      </c>
      <c r="D289" s="13" t="s">
        <v>504</v>
      </c>
      <c r="E289" s="13" t="s">
        <v>1878</v>
      </c>
      <c r="F289" s="13" t="s">
        <v>80</v>
      </c>
      <c r="G289" s="14">
        <v>2</v>
      </c>
      <c r="H289" s="14">
        <v>6</v>
      </c>
      <c r="I289" s="14">
        <v>20</v>
      </c>
      <c r="J289" s="13" t="s">
        <v>293</v>
      </c>
      <c r="K289" s="14">
        <v>3</v>
      </c>
      <c r="L289" s="14">
        <v>9</v>
      </c>
      <c r="M289" s="14">
        <v>30</v>
      </c>
      <c r="N289" s="24" t="s">
        <v>140</v>
      </c>
      <c r="O289" s="13" t="s">
        <v>562</v>
      </c>
      <c r="P289" s="13" t="s">
        <v>1866</v>
      </c>
      <c r="Q289" s="13" t="s">
        <v>1879</v>
      </c>
      <c r="R289" s="13" t="b">
        <f>TRUE()</f>
        <v>1</v>
      </c>
      <c r="S289" s="13" t="b">
        <f>TRUE()</f>
        <v>1</v>
      </c>
      <c r="T289" s="23" t="s">
        <v>126</v>
      </c>
      <c r="U289" s="13" t="s">
        <v>1880</v>
      </c>
      <c r="V289" s="13" t="s">
        <v>296</v>
      </c>
      <c r="W289" s="19" t="s">
        <v>96</v>
      </c>
    </row>
    <row r="290" spans="1:23" ht="30">
      <c r="A290" s="13" t="s">
        <v>1881</v>
      </c>
      <c r="B290" s="13" t="s">
        <v>1882</v>
      </c>
      <c r="C290" s="13" t="s">
        <v>1883</v>
      </c>
      <c r="D290" s="13" t="s">
        <v>1884</v>
      </c>
      <c r="E290" s="13" t="s">
        <v>1885</v>
      </c>
      <c r="F290" s="13" t="s">
        <v>80</v>
      </c>
      <c r="G290" s="14">
        <v>0</v>
      </c>
      <c r="H290" s="14">
        <v>0.3</v>
      </c>
      <c r="I290" s="14">
        <v>1.5</v>
      </c>
      <c r="J290" s="13" t="s">
        <v>293</v>
      </c>
      <c r="K290" s="14">
        <v>0</v>
      </c>
      <c r="L290" s="14">
        <v>0.45</v>
      </c>
      <c r="M290" s="14">
        <v>2.25</v>
      </c>
      <c r="N290" s="18" t="s">
        <v>92</v>
      </c>
      <c r="O290" s="13" t="s">
        <v>562</v>
      </c>
      <c r="P290" s="13" t="s">
        <v>1866</v>
      </c>
      <c r="Q290" s="13" t="s">
        <v>1886</v>
      </c>
      <c r="R290" s="13" t="b">
        <f>FALSE()</f>
        <v>0</v>
      </c>
      <c r="S290" s="13" t="b">
        <f>TRUE()</f>
        <v>1</v>
      </c>
      <c r="T290" s="16" t="s">
        <v>65</v>
      </c>
      <c r="U290" s="13" t="s">
        <v>1887</v>
      </c>
      <c r="V290" s="13" t="s">
        <v>282</v>
      </c>
      <c r="W290" s="20" t="s">
        <v>103</v>
      </c>
    </row>
    <row r="291" spans="1:23">
      <c r="A291" s="13" t="s">
        <v>1888</v>
      </c>
      <c r="B291" s="13" t="s">
        <v>1889</v>
      </c>
      <c r="C291" s="13" t="s">
        <v>1890</v>
      </c>
      <c r="D291" s="13" t="s">
        <v>1060</v>
      </c>
      <c r="E291" s="13" t="s">
        <v>1891</v>
      </c>
      <c r="F291" s="13" t="s">
        <v>80</v>
      </c>
      <c r="G291" s="14">
        <v>2</v>
      </c>
      <c r="H291" s="14">
        <v>8</v>
      </c>
      <c r="I291" s="14">
        <v>25</v>
      </c>
      <c r="J291" s="13" t="s">
        <v>1892</v>
      </c>
      <c r="K291" s="14">
        <v>1.2</v>
      </c>
      <c r="L291" s="14">
        <v>4.8</v>
      </c>
      <c r="M291" s="14">
        <v>15</v>
      </c>
      <c r="N291" s="18" t="s">
        <v>92</v>
      </c>
      <c r="O291" s="13" t="s">
        <v>562</v>
      </c>
      <c r="P291" s="13" t="s">
        <v>1866</v>
      </c>
      <c r="Q291" s="13" t="s">
        <v>1893</v>
      </c>
      <c r="R291" s="13" t="b">
        <f>TRUE()</f>
        <v>1</v>
      </c>
      <c r="S291" s="13" t="b">
        <f>TRUE()</f>
        <v>1</v>
      </c>
      <c r="T291" s="23" t="s">
        <v>126</v>
      </c>
      <c r="U291" s="13" t="s">
        <v>1894</v>
      </c>
      <c r="V291" s="13" t="s">
        <v>1895</v>
      </c>
      <c r="W291" s="21" t="s">
        <v>110</v>
      </c>
    </row>
    <row r="292" spans="1:23">
      <c r="A292" s="13" t="s">
        <v>1896</v>
      </c>
      <c r="B292" s="13" t="s">
        <v>1897</v>
      </c>
      <c r="C292" s="13" t="s">
        <v>1898</v>
      </c>
      <c r="D292" s="13" t="s">
        <v>1032</v>
      </c>
      <c r="E292" s="13" t="s">
        <v>1899</v>
      </c>
      <c r="F292" s="13" t="s">
        <v>80</v>
      </c>
      <c r="G292" s="14">
        <v>3</v>
      </c>
      <c r="H292" s="14">
        <v>10</v>
      </c>
      <c r="I292" s="14">
        <v>30</v>
      </c>
      <c r="J292" s="13" t="s">
        <v>1892</v>
      </c>
      <c r="K292" s="14">
        <v>1.8</v>
      </c>
      <c r="L292" s="14">
        <v>6</v>
      </c>
      <c r="M292" s="14">
        <v>18</v>
      </c>
      <c r="N292" s="18" t="s">
        <v>92</v>
      </c>
      <c r="O292" s="13" t="s">
        <v>562</v>
      </c>
      <c r="P292" s="13" t="s">
        <v>1866</v>
      </c>
      <c r="Q292" s="13" t="s">
        <v>1900</v>
      </c>
      <c r="R292" s="13" t="b">
        <f>TRUE()</f>
        <v>1</v>
      </c>
      <c r="S292" s="13" t="b">
        <f>TRUE()</f>
        <v>1</v>
      </c>
      <c r="T292" s="23" t="s">
        <v>126</v>
      </c>
      <c r="U292" s="13" t="s">
        <v>1901</v>
      </c>
      <c r="V292" s="13" t="s">
        <v>1895</v>
      </c>
      <c r="W292" s="19" t="s">
        <v>96</v>
      </c>
    </row>
    <row r="293" spans="1:23">
      <c r="A293" s="13" t="s">
        <v>1902</v>
      </c>
      <c r="B293" s="13" t="s">
        <v>1903</v>
      </c>
      <c r="C293" s="13" t="s">
        <v>1904</v>
      </c>
      <c r="D293" s="13" t="s">
        <v>1905</v>
      </c>
      <c r="E293" s="13" t="s">
        <v>1906</v>
      </c>
      <c r="F293" s="13" t="s">
        <v>80</v>
      </c>
      <c r="G293" s="14">
        <v>2</v>
      </c>
      <c r="H293" s="14">
        <v>6</v>
      </c>
      <c r="I293" s="14">
        <v>20</v>
      </c>
      <c r="J293" s="13" t="s">
        <v>1892</v>
      </c>
      <c r="K293" s="14">
        <v>1.2</v>
      </c>
      <c r="L293" s="14">
        <v>3.6</v>
      </c>
      <c r="M293" s="14">
        <v>12</v>
      </c>
      <c r="N293" s="24" t="s">
        <v>140</v>
      </c>
      <c r="O293" s="13" t="s">
        <v>562</v>
      </c>
      <c r="P293" s="13" t="s">
        <v>1866</v>
      </c>
      <c r="Q293" s="13" t="s">
        <v>1907</v>
      </c>
      <c r="R293" s="13" t="b">
        <f>TRUE()</f>
        <v>1</v>
      </c>
      <c r="S293" s="13" t="b">
        <f>TRUE()</f>
        <v>1</v>
      </c>
      <c r="T293" s="18" t="s">
        <v>84</v>
      </c>
      <c r="U293" s="13" t="s">
        <v>1908</v>
      </c>
      <c r="V293" s="13" t="s">
        <v>1895</v>
      </c>
      <c r="W293" s="20" t="s">
        <v>103</v>
      </c>
    </row>
    <row r="294" spans="1:23">
      <c r="A294" s="13" t="s">
        <v>1909</v>
      </c>
      <c r="B294" s="13" t="s">
        <v>1910</v>
      </c>
      <c r="C294" s="13" t="s">
        <v>1911</v>
      </c>
      <c r="D294" s="13" t="s">
        <v>1060</v>
      </c>
      <c r="E294" s="13" t="s">
        <v>1912</v>
      </c>
      <c r="F294" s="13" t="s">
        <v>80</v>
      </c>
      <c r="G294" s="14">
        <v>3</v>
      </c>
      <c r="H294" s="14">
        <v>10</v>
      </c>
      <c r="I294" s="14">
        <v>30</v>
      </c>
      <c r="J294" s="13" t="s">
        <v>1892</v>
      </c>
      <c r="K294" s="14">
        <v>1.8</v>
      </c>
      <c r="L294" s="14">
        <v>6</v>
      </c>
      <c r="M294" s="14">
        <v>18</v>
      </c>
      <c r="N294" s="24" t="s">
        <v>140</v>
      </c>
      <c r="O294" s="13" t="s">
        <v>562</v>
      </c>
      <c r="P294" s="13" t="s">
        <v>1866</v>
      </c>
      <c r="Q294" s="13" t="s">
        <v>1913</v>
      </c>
      <c r="R294" s="13" t="b">
        <f>TRUE()</f>
        <v>1</v>
      </c>
      <c r="S294" s="13" t="b">
        <f>TRUE()</f>
        <v>1</v>
      </c>
      <c r="T294" s="23" t="s">
        <v>126</v>
      </c>
      <c r="U294" s="13" t="s">
        <v>1914</v>
      </c>
      <c r="V294" s="13" t="s">
        <v>1895</v>
      </c>
      <c r="W294" s="19" t="s">
        <v>96</v>
      </c>
    </row>
    <row r="295" spans="1:23" ht="30">
      <c r="A295" s="13" t="s">
        <v>1915</v>
      </c>
      <c r="B295" s="13" t="s">
        <v>1916</v>
      </c>
      <c r="C295" s="13" t="s">
        <v>1917</v>
      </c>
      <c r="D295" s="13" t="s">
        <v>742</v>
      </c>
      <c r="E295" s="13" t="s">
        <v>1918</v>
      </c>
      <c r="F295" s="13" t="s">
        <v>80</v>
      </c>
      <c r="G295" s="14">
        <v>5</v>
      </c>
      <c r="H295" s="14">
        <v>20</v>
      </c>
      <c r="I295" s="14">
        <v>60</v>
      </c>
      <c r="J295" s="13" t="s">
        <v>1919</v>
      </c>
      <c r="K295" s="14">
        <v>0.25</v>
      </c>
      <c r="L295" s="14">
        <v>1</v>
      </c>
      <c r="M295" s="14">
        <v>3</v>
      </c>
      <c r="N295" s="18" t="s">
        <v>92</v>
      </c>
      <c r="O295" s="13" t="s">
        <v>562</v>
      </c>
      <c r="P295" s="13" t="s">
        <v>526</v>
      </c>
      <c r="Q295" s="13" t="s">
        <v>1920</v>
      </c>
      <c r="R295" s="13" t="b">
        <f>TRUE()</f>
        <v>1</v>
      </c>
      <c r="S295" s="13" t="b">
        <f>TRUE()</f>
        <v>1</v>
      </c>
      <c r="T295" s="18" t="s">
        <v>84</v>
      </c>
      <c r="U295" s="13" t="s">
        <v>1921</v>
      </c>
      <c r="V295" s="13" t="s">
        <v>439</v>
      </c>
      <c r="W295" s="20" t="s">
        <v>103</v>
      </c>
    </row>
    <row r="296" spans="1:23" ht="30">
      <c r="A296" s="13" t="s">
        <v>1922</v>
      </c>
      <c r="B296" s="13" t="s">
        <v>1923</v>
      </c>
      <c r="C296" s="13" t="s">
        <v>1924</v>
      </c>
      <c r="D296" s="13" t="s">
        <v>742</v>
      </c>
      <c r="E296" s="13" t="s">
        <v>1925</v>
      </c>
      <c r="F296" s="13" t="s">
        <v>80</v>
      </c>
      <c r="G296" s="14">
        <v>2</v>
      </c>
      <c r="H296" s="14">
        <v>8</v>
      </c>
      <c r="I296" s="14">
        <v>25</v>
      </c>
      <c r="J296" s="13" t="s">
        <v>263</v>
      </c>
      <c r="K296" s="14">
        <v>0.2</v>
      </c>
      <c r="L296" s="14">
        <v>0.8</v>
      </c>
      <c r="M296" s="14">
        <v>2.5</v>
      </c>
      <c r="N296" s="24" t="s">
        <v>140</v>
      </c>
      <c r="O296" s="13" t="s">
        <v>562</v>
      </c>
      <c r="P296" s="13" t="s">
        <v>526</v>
      </c>
      <c r="Q296" s="13" t="s">
        <v>1926</v>
      </c>
      <c r="R296" s="13" t="b">
        <f>FALSE()</f>
        <v>0</v>
      </c>
      <c r="S296" s="13" t="b">
        <f>FALSE()</f>
        <v>0</v>
      </c>
      <c r="T296" s="16" t="s">
        <v>65</v>
      </c>
      <c r="U296" s="13" t="s">
        <v>1927</v>
      </c>
      <c r="V296" s="13" t="s">
        <v>342</v>
      </c>
      <c r="W296" s="20" t="s">
        <v>103</v>
      </c>
    </row>
    <row r="297" spans="1:23" ht="30">
      <c r="A297" s="13" t="s">
        <v>1928</v>
      </c>
      <c r="B297" s="13" t="s">
        <v>1929</v>
      </c>
      <c r="C297" s="13" t="s">
        <v>1930</v>
      </c>
      <c r="D297" s="13" t="s">
        <v>1085</v>
      </c>
      <c r="E297" s="13" t="s">
        <v>1931</v>
      </c>
      <c r="F297" s="13" t="s">
        <v>80</v>
      </c>
      <c r="G297" s="14">
        <v>1</v>
      </c>
      <c r="H297" s="14">
        <v>5</v>
      </c>
      <c r="I297" s="14">
        <v>20</v>
      </c>
      <c r="J297" s="13" t="s">
        <v>1919</v>
      </c>
      <c r="K297" s="14">
        <v>0.05</v>
      </c>
      <c r="L297" s="14">
        <v>0.25</v>
      </c>
      <c r="M297" s="14">
        <v>1</v>
      </c>
      <c r="N297" s="18" t="s">
        <v>92</v>
      </c>
      <c r="O297" s="13" t="s">
        <v>562</v>
      </c>
      <c r="P297" s="13" t="s">
        <v>526</v>
      </c>
      <c r="Q297" s="13" t="s">
        <v>1932</v>
      </c>
      <c r="R297" s="13" t="b">
        <f>FALSE()</f>
        <v>0</v>
      </c>
      <c r="S297" s="13" t="b">
        <f>FALSE()</f>
        <v>0</v>
      </c>
      <c r="T297" s="16" t="s">
        <v>65</v>
      </c>
      <c r="U297" s="13" t="s">
        <v>1933</v>
      </c>
      <c r="V297" s="13" t="s">
        <v>342</v>
      </c>
      <c r="W297" s="20" t="s">
        <v>103</v>
      </c>
    </row>
    <row r="298" spans="1:23" ht="30">
      <c r="A298" s="13" t="s">
        <v>1934</v>
      </c>
      <c r="B298" s="13" t="s">
        <v>1935</v>
      </c>
      <c r="C298" s="13" t="s">
        <v>1936</v>
      </c>
      <c r="D298" s="13" t="s">
        <v>1937</v>
      </c>
      <c r="E298" s="13" t="s">
        <v>1938</v>
      </c>
      <c r="F298" s="13" t="s">
        <v>80</v>
      </c>
      <c r="G298" s="14">
        <v>0.5</v>
      </c>
      <c r="H298" s="14">
        <v>2</v>
      </c>
      <c r="I298" s="14">
        <v>10</v>
      </c>
      <c r="J298" s="13" t="s">
        <v>263</v>
      </c>
      <c r="K298" s="14">
        <v>0.05</v>
      </c>
      <c r="L298" s="14">
        <v>0.2</v>
      </c>
      <c r="M298" s="14">
        <v>1</v>
      </c>
      <c r="N298" s="18" t="s">
        <v>92</v>
      </c>
      <c r="O298" s="13" t="s">
        <v>562</v>
      </c>
      <c r="P298" s="13" t="s">
        <v>526</v>
      </c>
      <c r="Q298" s="13" t="s">
        <v>1939</v>
      </c>
      <c r="R298" s="13" t="b">
        <f>FALSE()</f>
        <v>0</v>
      </c>
      <c r="S298" s="13" t="b">
        <f>FALSE()</f>
        <v>0</v>
      </c>
      <c r="T298" s="16" t="s">
        <v>65</v>
      </c>
      <c r="U298" s="13" t="s">
        <v>1940</v>
      </c>
      <c r="V298" s="13" t="s">
        <v>342</v>
      </c>
      <c r="W298" s="20" t="s">
        <v>103</v>
      </c>
    </row>
    <row r="299" spans="1:23" ht="30">
      <c r="A299" s="13" t="s">
        <v>1941</v>
      </c>
      <c r="B299" s="13" t="s">
        <v>1942</v>
      </c>
      <c r="C299" s="13" t="s">
        <v>1943</v>
      </c>
      <c r="D299" s="13" t="s">
        <v>1344</v>
      </c>
      <c r="E299" s="13" t="s">
        <v>1944</v>
      </c>
      <c r="F299" s="13" t="s">
        <v>59</v>
      </c>
      <c r="G299" s="14">
        <v>0.5</v>
      </c>
      <c r="H299" s="14">
        <v>2</v>
      </c>
      <c r="I299" s="14">
        <v>10</v>
      </c>
      <c r="J299" s="13" t="s">
        <v>443</v>
      </c>
      <c r="K299" s="14">
        <v>0.05</v>
      </c>
      <c r="L299" s="14">
        <v>0.2</v>
      </c>
      <c r="M299" s="14">
        <v>1</v>
      </c>
      <c r="N299" s="18" t="s">
        <v>92</v>
      </c>
      <c r="O299" s="13" t="s">
        <v>562</v>
      </c>
      <c r="P299" s="13" t="s">
        <v>526</v>
      </c>
      <c r="Q299" s="13" t="s">
        <v>1945</v>
      </c>
      <c r="R299" s="13" t="b">
        <f>FALSE()</f>
        <v>0</v>
      </c>
      <c r="S299" s="13" t="b">
        <f>FALSE()</f>
        <v>0</v>
      </c>
      <c r="T299" s="16" t="s">
        <v>65</v>
      </c>
      <c r="U299" s="13" t="s">
        <v>1946</v>
      </c>
      <c r="V299" s="13" t="s">
        <v>342</v>
      </c>
      <c r="W299" s="20" t="s">
        <v>103</v>
      </c>
    </row>
    <row r="300" spans="1:23" ht="30">
      <c r="A300" s="13" t="s">
        <v>1947</v>
      </c>
      <c r="B300" s="13" t="s">
        <v>1948</v>
      </c>
      <c r="C300" s="13" t="s">
        <v>1949</v>
      </c>
      <c r="D300" s="13" t="s">
        <v>1338</v>
      </c>
      <c r="E300" s="13" t="s">
        <v>1950</v>
      </c>
      <c r="F300" s="13" t="s">
        <v>59</v>
      </c>
      <c r="G300" s="14">
        <v>30</v>
      </c>
      <c r="H300" s="14">
        <v>100</v>
      </c>
      <c r="I300" s="14">
        <v>400</v>
      </c>
      <c r="J300" s="13" t="s">
        <v>443</v>
      </c>
      <c r="K300" s="14">
        <v>3</v>
      </c>
      <c r="L300" s="14">
        <v>10</v>
      </c>
      <c r="M300" s="14">
        <v>40</v>
      </c>
      <c r="N300" s="18" t="s">
        <v>92</v>
      </c>
      <c r="O300" s="13" t="s">
        <v>562</v>
      </c>
      <c r="P300" s="13" t="s">
        <v>526</v>
      </c>
      <c r="Q300" s="13" t="s">
        <v>1951</v>
      </c>
      <c r="R300" s="13" t="b">
        <f>TRUE()</f>
        <v>1</v>
      </c>
      <c r="S300" s="13" t="b">
        <f>TRUE()</f>
        <v>1</v>
      </c>
      <c r="T300" s="23" t="s">
        <v>126</v>
      </c>
      <c r="U300" s="13" t="s">
        <v>1952</v>
      </c>
      <c r="V300" s="13" t="s">
        <v>221</v>
      </c>
      <c r="W300" s="19" t="s">
        <v>96</v>
      </c>
    </row>
    <row r="301" spans="1:23">
      <c r="A301" s="13" t="s">
        <v>1953</v>
      </c>
      <c r="B301" s="13" t="s">
        <v>1954</v>
      </c>
      <c r="C301" s="13" t="s">
        <v>1955</v>
      </c>
      <c r="D301" s="13" t="s">
        <v>121</v>
      </c>
      <c r="E301" s="13" t="s">
        <v>1956</v>
      </c>
      <c r="F301" s="13" t="s">
        <v>59</v>
      </c>
      <c r="G301" s="14">
        <v>0</v>
      </c>
      <c r="H301" s="14">
        <v>0.5</v>
      </c>
      <c r="I301" s="14">
        <v>2</v>
      </c>
      <c r="J301" s="13" t="s">
        <v>381</v>
      </c>
      <c r="K301" s="14">
        <v>0</v>
      </c>
      <c r="L301" s="14">
        <v>7.4999999999999997E-2</v>
      </c>
      <c r="M301" s="14">
        <v>0.3</v>
      </c>
      <c r="N301" s="15" t="s">
        <v>61</v>
      </c>
      <c r="O301" s="13" t="s">
        <v>62</v>
      </c>
      <c r="P301" s="13" t="s">
        <v>1802</v>
      </c>
      <c r="Q301" s="13" t="s">
        <v>1957</v>
      </c>
      <c r="R301" s="13" t="b">
        <f>FALSE()</f>
        <v>0</v>
      </c>
      <c r="S301" s="13" t="b">
        <f>FALSE()</f>
        <v>0</v>
      </c>
      <c r="T301" s="16" t="s">
        <v>65</v>
      </c>
      <c r="U301" s="13" t="s">
        <v>1958</v>
      </c>
      <c r="V301" s="13" t="s">
        <v>342</v>
      </c>
      <c r="W301" s="17" t="s">
        <v>67</v>
      </c>
    </row>
    <row r="302" spans="1:23" ht="30">
      <c r="A302" s="13" t="s">
        <v>1959</v>
      </c>
      <c r="B302" s="13" t="s">
        <v>1960</v>
      </c>
      <c r="C302" s="13" t="s">
        <v>1961</v>
      </c>
      <c r="D302" s="13" t="s">
        <v>1962</v>
      </c>
      <c r="E302" s="13" t="s">
        <v>1963</v>
      </c>
      <c r="F302" s="13" t="s">
        <v>59</v>
      </c>
      <c r="G302" s="14">
        <v>0</v>
      </c>
      <c r="H302" s="14">
        <v>1</v>
      </c>
      <c r="I302" s="14">
        <v>5</v>
      </c>
      <c r="J302" s="13" t="s">
        <v>443</v>
      </c>
      <c r="K302" s="14">
        <v>0</v>
      </c>
      <c r="L302" s="14">
        <v>0.1</v>
      </c>
      <c r="M302" s="14">
        <v>0.5</v>
      </c>
      <c r="N302" s="24" t="s">
        <v>140</v>
      </c>
      <c r="O302" s="13" t="s">
        <v>562</v>
      </c>
      <c r="P302" s="13" t="s">
        <v>526</v>
      </c>
      <c r="Q302" s="13" t="s">
        <v>1964</v>
      </c>
      <c r="R302" s="13" t="b">
        <f>FALSE()</f>
        <v>0</v>
      </c>
      <c r="S302" s="13" t="b">
        <f>FALSE()</f>
        <v>0</v>
      </c>
      <c r="T302" s="16" t="s">
        <v>65</v>
      </c>
      <c r="U302" s="13" t="s">
        <v>1927</v>
      </c>
      <c r="V302" s="13" t="s">
        <v>342</v>
      </c>
      <c r="W302" s="20" t="s">
        <v>103</v>
      </c>
    </row>
    <row r="303" spans="1:23" ht="30">
      <c r="A303" s="13" t="s">
        <v>1965</v>
      </c>
      <c r="B303" s="13" t="s">
        <v>1966</v>
      </c>
      <c r="C303" s="13" t="s">
        <v>1967</v>
      </c>
      <c r="D303" s="13" t="s">
        <v>1968</v>
      </c>
      <c r="E303" s="13" t="s">
        <v>1969</v>
      </c>
      <c r="F303" s="13" t="s">
        <v>59</v>
      </c>
      <c r="G303" s="14">
        <v>0</v>
      </c>
      <c r="H303" s="14">
        <v>0.5</v>
      </c>
      <c r="I303" s="14">
        <v>3</v>
      </c>
      <c r="J303" s="13" t="s">
        <v>116</v>
      </c>
      <c r="K303" s="14">
        <v>0</v>
      </c>
      <c r="L303" s="14">
        <v>0.1</v>
      </c>
      <c r="M303" s="14">
        <v>0.6</v>
      </c>
      <c r="N303" s="24" t="s">
        <v>140</v>
      </c>
      <c r="O303" s="13" t="s">
        <v>562</v>
      </c>
      <c r="P303" s="13" t="s">
        <v>526</v>
      </c>
      <c r="Q303" s="13" t="s">
        <v>1970</v>
      </c>
      <c r="R303" s="13" t="b">
        <f>FALSE()</f>
        <v>0</v>
      </c>
      <c r="S303" s="13" t="b">
        <f>FALSE()</f>
        <v>0</v>
      </c>
      <c r="T303" s="16" t="s">
        <v>65</v>
      </c>
      <c r="U303" s="13" t="s">
        <v>1971</v>
      </c>
      <c r="V303" s="13" t="s">
        <v>342</v>
      </c>
      <c r="W303" s="20" t="s">
        <v>103</v>
      </c>
    </row>
    <row r="304" spans="1:23" ht="30">
      <c r="A304" s="13" t="s">
        <v>1972</v>
      </c>
      <c r="B304" s="13" t="s">
        <v>1973</v>
      </c>
      <c r="C304" s="13" t="s">
        <v>1974</v>
      </c>
      <c r="D304" s="13" t="s">
        <v>965</v>
      </c>
      <c r="E304" s="13" t="s">
        <v>1975</v>
      </c>
      <c r="F304" s="13" t="s">
        <v>59</v>
      </c>
      <c r="G304" s="14">
        <v>0.5</v>
      </c>
      <c r="H304" s="14">
        <v>3</v>
      </c>
      <c r="I304" s="14">
        <v>12</v>
      </c>
      <c r="J304" s="13" t="s">
        <v>381</v>
      </c>
      <c r="K304" s="14">
        <v>7.4999999999999997E-2</v>
      </c>
      <c r="L304" s="14">
        <v>0.45</v>
      </c>
      <c r="M304" s="14">
        <v>1.8</v>
      </c>
      <c r="N304" s="24" t="s">
        <v>140</v>
      </c>
      <c r="O304" s="13" t="s">
        <v>562</v>
      </c>
      <c r="P304" s="13" t="s">
        <v>526</v>
      </c>
      <c r="Q304" s="13" t="s">
        <v>1976</v>
      </c>
      <c r="R304" s="13" t="b">
        <f>TRUE()</f>
        <v>1</v>
      </c>
      <c r="S304" s="13" t="b">
        <f>FALSE()</f>
        <v>0</v>
      </c>
      <c r="T304" s="18" t="s">
        <v>84</v>
      </c>
      <c r="U304" s="13" t="s">
        <v>1977</v>
      </c>
      <c r="V304" s="13" t="s">
        <v>439</v>
      </c>
      <c r="W304" s="20" t="s">
        <v>103</v>
      </c>
    </row>
    <row r="305" spans="1:23" ht="30">
      <c r="A305" s="13" t="s">
        <v>1978</v>
      </c>
      <c r="B305" s="13" t="s">
        <v>1979</v>
      </c>
      <c r="C305" s="13" t="s">
        <v>1980</v>
      </c>
      <c r="D305" s="13" t="s">
        <v>1981</v>
      </c>
      <c r="E305" s="13" t="s">
        <v>1982</v>
      </c>
      <c r="F305" s="13" t="s">
        <v>80</v>
      </c>
      <c r="G305" s="14">
        <v>1</v>
      </c>
      <c r="H305" s="14">
        <v>5</v>
      </c>
      <c r="I305" s="14">
        <v>20</v>
      </c>
      <c r="J305" s="13" t="s">
        <v>263</v>
      </c>
      <c r="K305" s="14">
        <v>0.1</v>
      </c>
      <c r="L305" s="14">
        <v>0.5</v>
      </c>
      <c r="M305" s="14">
        <v>2</v>
      </c>
      <c r="N305" s="18" t="s">
        <v>92</v>
      </c>
      <c r="O305" s="13" t="s">
        <v>562</v>
      </c>
      <c r="P305" s="13" t="s">
        <v>526</v>
      </c>
      <c r="Q305" s="13" t="s">
        <v>1983</v>
      </c>
      <c r="R305" s="13" t="b">
        <f>FALSE()</f>
        <v>0</v>
      </c>
      <c r="S305" s="13" t="b">
        <f>FALSE()</f>
        <v>0</v>
      </c>
      <c r="T305" s="18" t="s">
        <v>84</v>
      </c>
      <c r="U305" s="13" t="s">
        <v>1984</v>
      </c>
      <c r="V305" s="13" t="s">
        <v>342</v>
      </c>
      <c r="W305" s="20" t="s">
        <v>103</v>
      </c>
    </row>
    <row r="306" spans="1:23">
      <c r="A306" s="13" t="s">
        <v>1985</v>
      </c>
      <c r="B306" s="13" t="s">
        <v>1986</v>
      </c>
      <c r="C306" s="13" t="s">
        <v>1987</v>
      </c>
      <c r="D306" s="13" t="s">
        <v>458</v>
      </c>
      <c r="E306" s="13" t="s">
        <v>1988</v>
      </c>
      <c r="F306" s="13" t="s">
        <v>80</v>
      </c>
      <c r="G306" s="14">
        <v>2</v>
      </c>
      <c r="H306" s="14">
        <v>10</v>
      </c>
      <c r="I306" s="14">
        <v>40</v>
      </c>
      <c r="J306" s="13" t="s">
        <v>263</v>
      </c>
      <c r="K306" s="14">
        <v>0.2</v>
      </c>
      <c r="L306" s="14">
        <v>1</v>
      </c>
      <c r="M306" s="14">
        <v>4</v>
      </c>
      <c r="N306" s="18" t="s">
        <v>92</v>
      </c>
      <c r="O306" s="13" t="s">
        <v>562</v>
      </c>
      <c r="P306" s="13" t="s">
        <v>1989</v>
      </c>
      <c r="Q306" s="13" t="s">
        <v>1990</v>
      </c>
      <c r="R306" s="13" t="b">
        <f>TRUE()</f>
        <v>1</v>
      </c>
      <c r="S306" s="13" t="b">
        <f>FALSE()</f>
        <v>0</v>
      </c>
      <c r="T306" s="18" t="s">
        <v>84</v>
      </c>
      <c r="U306" s="13" t="s">
        <v>1991</v>
      </c>
      <c r="V306" s="13" t="s">
        <v>439</v>
      </c>
      <c r="W306" s="20" t="s">
        <v>103</v>
      </c>
    </row>
    <row r="307" spans="1:23" ht="30">
      <c r="A307" s="13" t="s">
        <v>1992</v>
      </c>
      <c r="B307" s="13" t="s">
        <v>1993</v>
      </c>
      <c r="C307" s="13" t="s">
        <v>1994</v>
      </c>
      <c r="D307" s="13" t="s">
        <v>256</v>
      </c>
      <c r="E307" s="13" t="s">
        <v>1995</v>
      </c>
      <c r="F307" s="13" t="s">
        <v>80</v>
      </c>
      <c r="G307" s="14">
        <v>0.5</v>
      </c>
      <c r="H307" s="14">
        <v>2</v>
      </c>
      <c r="I307" s="14">
        <v>8</v>
      </c>
      <c r="J307" s="13" t="s">
        <v>293</v>
      </c>
      <c r="K307" s="14">
        <v>0.75</v>
      </c>
      <c r="L307" s="14">
        <v>3</v>
      </c>
      <c r="M307" s="14">
        <v>12</v>
      </c>
      <c r="N307" s="18" t="s">
        <v>92</v>
      </c>
      <c r="O307" s="13" t="s">
        <v>562</v>
      </c>
      <c r="P307" s="13" t="s">
        <v>526</v>
      </c>
      <c r="Q307" s="13" t="s">
        <v>1996</v>
      </c>
      <c r="R307" s="13" t="b">
        <f>TRUE()</f>
        <v>1</v>
      </c>
      <c r="S307" s="13" t="b">
        <f>TRUE()</f>
        <v>1</v>
      </c>
      <c r="T307" s="18" t="s">
        <v>84</v>
      </c>
      <c r="U307" s="13" t="s">
        <v>1997</v>
      </c>
      <c r="V307" s="13" t="s">
        <v>282</v>
      </c>
      <c r="W307" s="20" t="s">
        <v>103</v>
      </c>
    </row>
    <row r="308" spans="1:23" ht="30">
      <c r="A308" s="13" t="s">
        <v>1998</v>
      </c>
      <c r="B308" s="13" t="s">
        <v>1999</v>
      </c>
      <c r="C308" s="13" t="s">
        <v>2000</v>
      </c>
      <c r="D308" s="13" t="s">
        <v>256</v>
      </c>
      <c r="E308" s="13" t="s">
        <v>2001</v>
      </c>
      <c r="F308" s="13" t="s">
        <v>80</v>
      </c>
      <c r="G308" s="14">
        <v>1</v>
      </c>
      <c r="H308" s="14">
        <v>4</v>
      </c>
      <c r="I308" s="14">
        <v>15</v>
      </c>
      <c r="J308" s="13" t="s">
        <v>293</v>
      </c>
      <c r="K308" s="14">
        <v>1.5</v>
      </c>
      <c r="L308" s="14">
        <v>6</v>
      </c>
      <c r="M308" s="14">
        <v>22.5</v>
      </c>
      <c r="N308" s="24" t="s">
        <v>140</v>
      </c>
      <c r="O308" s="13" t="s">
        <v>562</v>
      </c>
      <c r="P308" s="13" t="s">
        <v>526</v>
      </c>
      <c r="Q308" s="13" t="s">
        <v>2002</v>
      </c>
      <c r="R308" s="13" t="b">
        <f>TRUE()</f>
        <v>1</v>
      </c>
      <c r="S308" s="13" t="b">
        <f>TRUE()</f>
        <v>1</v>
      </c>
      <c r="T308" s="18" t="s">
        <v>84</v>
      </c>
      <c r="U308" s="13" t="s">
        <v>2003</v>
      </c>
      <c r="V308" s="13" t="s">
        <v>282</v>
      </c>
      <c r="W308" s="19" t="s">
        <v>96</v>
      </c>
    </row>
    <row r="309" spans="1:23" ht="30">
      <c r="A309" s="13" t="s">
        <v>2004</v>
      </c>
      <c r="B309" s="13" t="s">
        <v>2005</v>
      </c>
      <c r="C309" s="13" t="s">
        <v>2006</v>
      </c>
      <c r="D309" s="13" t="s">
        <v>410</v>
      </c>
      <c r="E309" s="13" t="s">
        <v>2007</v>
      </c>
      <c r="F309" s="13" t="s">
        <v>80</v>
      </c>
      <c r="G309" s="14">
        <v>0</v>
      </c>
      <c r="H309" s="14">
        <v>0.3</v>
      </c>
      <c r="I309" s="14">
        <v>2</v>
      </c>
      <c r="J309" s="13" t="s">
        <v>510</v>
      </c>
      <c r="K309" s="14">
        <v>0</v>
      </c>
      <c r="L309" s="14">
        <v>0.12</v>
      </c>
      <c r="M309" s="14">
        <v>0.8</v>
      </c>
      <c r="N309" s="18" t="s">
        <v>92</v>
      </c>
      <c r="O309" s="13" t="s">
        <v>562</v>
      </c>
      <c r="P309" s="13" t="s">
        <v>526</v>
      </c>
      <c r="Q309" s="13" t="s">
        <v>2008</v>
      </c>
      <c r="R309" s="13" t="b">
        <f>FALSE()</f>
        <v>0</v>
      </c>
      <c r="S309" s="13" t="b">
        <f>FALSE()</f>
        <v>0</v>
      </c>
      <c r="T309" s="16" t="s">
        <v>65</v>
      </c>
      <c r="U309" s="13" t="s">
        <v>2009</v>
      </c>
      <c r="V309" s="13" t="s">
        <v>282</v>
      </c>
      <c r="W309" s="20" t="s">
        <v>103</v>
      </c>
    </row>
    <row r="310" spans="1:23">
      <c r="A310" s="13" t="s">
        <v>2010</v>
      </c>
      <c r="B310" s="13" t="s">
        <v>2011</v>
      </c>
      <c r="C310" s="13" t="s">
        <v>2012</v>
      </c>
      <c r="D310" s="13" t="s">
        <v>410</v>
      </c>
      <c r="E310" s="13" t="s">
        <v>2001</v>
      </c>
      <c r="F310" s="13" t="s">
        <v>80</v>
      </c>
      <c r="G310" s="14">
        <v>5</v>
      </c>
      <c r="H310" s="14">
        <v>20</v>
      </c>
      <c r="I310" s="14">
        <v>60</v>
      </c>
      <c r="J310" s="13" t="s">
        <v>905</v>
      </c>
      <c r="K310" s="14">
        <v>10</v>
      </c>
      <c r="L310" s="14">
        <v>40</v>
      </c>
      <c r="M310" s="14">
        <v>120</v>
      </c>
      <c r="N310" s="18" t="s">
        <v>92</v>
      </c>
      <c r="O310" s="13" t="s">
        <v>562</v>
      </c>
      <c r="P310" s="13" t="s">
        <v>2013</v>
      </c>
      <c r="Q310" s="13" t="s">
        <v>2014</v>
      </c>
      <c r="R310" s="13" t="b">
        <f>TRUE()</f>
        <v>1</v>
      </c>
      <c r="S310" s="13" t="b">
        <f>TRUE()</f>
        <v>1</v>
      </c>
      <c r="T310" s="23" t="s">
        <v>126</v>
      </c>
      <c r="U310" s="13" t="s">
        <v>2015</v>
      </c>
      <c r="V310" s="13" t="s">
        <v>309</v>
      </c>
      <c r="W310" s="19" t="s">
        <v>96</v>
      </c>
    </row>
    <row r="311" spans="1:23" ht="30">
      <c r="A311" s="13" t="s">
        <v>2016</v>
      </c>
      <c r="B311" s="13" t="s">
        <v>2017</v>
      </c>
      <c r="C311" s="13" t="s">
        <v>2018</v>
      </c>
      <c r="D311" s="13" t="s">
        <v>2019</v>
      </c>
      <c r="E311" s="13" t="s">
        <v>2020</v>
      </c>
      <c r="F311" s="13" t="s">
        <v>80</v>
      </c>
      <c r="G311" s="14">
        <v>0</v>
      </c>
      <c r="H311" s="14">
        <v>0.05</v>
      </c>
      <c r="I311" s="14">
        <v>0.3</v>
      </c>
      <c r="J311" s="13" t="s">
        <v>510</v>
      </c>
      <c r="K311" s="14">
        <v>0</v>
      </c>
      <c r="L311" s="14">
        <v>0.02</v>
      </c>
      <c r="M311" s="14">
        <v>0.12</v>
      </c>
      <c r="N311" s="22" t="s">
        <v>123</v>
      </c>
      <c r="O311" s="13" t="s">
        <v>62</v>
      </c>
      <c r="P311" s="13" t="s">
        <v>526</v>
      </c>
      <c r="Q311" s="13" t="s">
        <v>2021</v>
      </c>
      <c r="R311" s="13" t="b">
        <f>FALSE()</f>
        <v>0</v>
      </c>
      <c r="S311" s="13" t="b">
        <f>FALSE()</f>
        <v>0</v>
      </c>
      <c r="T311" s="16" t="s">
        <v>65</v>
      </c>
      <c r="U311" s="13" t="s">
        <v>2022</v>
      </c>
      <c r="V311" s="13" t="s">
        <v>282</v>
      </c>
      <c r="W311" s="17" t="s">
        <v>67</v>
      </c>
    </row>
    <row r="312" spans="1:23" ht="30">
      <c r="A312" s="13" t="s">
        <v>2023</v>
      </c>
      <c r="B312" s="13" t="s">
        <v>2024</v>
      </c>
      <c r="C312" s="13" t="s">
        <v>2025</v>
      </c>
      <c r="D312" s="13" t="s">
        <v>1085</v>
      </c>
      <c r="E312" s="13" t="s">
        <v>2026</v>
      </c>
      <c r="F312" s="13" t="s">
        <v>80</v>
      </c>
      <c r="G312" s="14">
        <v>0</v>
      </c>
      <c r="H312" s="14">
        <v>0.05</v>
      </c>
      <c r="I312" s="14">
        <v>0.3</v>
      </c>
      <c r="J312" s="13" t="s">
        <v>510</v>
      </c>
      <c r="K312" s="14">
        <v>0</v>
      </c>
      <c r="L312" s="14">
        <v>0.02</v>
      </c>
      <c r="M312" s="14">
        <v>0.12</v>
      </c>
      <c r="N312" s="22" t="s">
        <v>123</v>
      </c>
      <c r="O312" s="13" t="s">
        <v>62</v>
      </c>
      <c r="P312" s="13" t="s">
        <v>526</v>
      </c>
      <c r="Q312" s="13" t="s">
        <v>2027</v>
      </c>
      <c r="R312" s="13" t="b">
        <f>FALSE()</f>
        <v>0</v>
      </c>
      <c r="S312" s="13" t="b">
        <f>FALSE()</f>
        <v>0</v>
      </c>
      <c r="T312" s="16" t="s">
        <v>65</v>
      </c>
      <c r="U312" s="13" t="s">
        <v>2022</v>
      </c>
      <c r="V312" s="13" t="s">
        <v>282</v>
      </c>
      <c r="W312" s="17" t="s">
        <v>67</v>
      </c>
    </row>
    <row r="313" spans="1:23" ht="30">
      <c r="A313" s="13" t="s">
        <v>2028</v>
      </c>
      <c r="B313" s="13" t="s">
        <v>2029</v>
      </c>
      <c r="C313" s="13" t="s">
        <v>2030</v>
      </c>
      <c r="D313" s="13" t="s">
        <v>769</v>
      </c>
      <c r="E313" s="13" t="s">
        <v>2031</v>
      </c>
      <c r="F313" s="13" t="s">
        <v>80</v>
      </c>
      <c r="G313" s="14">
        <v>0</v>
      </c>
      <c r="H313" s="14">
        <v>0.05</v>
      </c>
      <c r="I313" s="14">
        <v>0.3</v>
      </c>
      <c r="J313" s="13" t="s">
        <v>510</v>
      </c>
      <c r="K313" s="14">
        <v>0</v>
      </c>
      <c r="L313" s="14">
        <v>0.02</v>
      </c>
      <c r="M313" s="14">
        <v>0.12</v>
      </c>
      <c r="N313" s="22" t="s">
        <v>123</v>
      </c>
      <c r="O313" s="13" t="s">
        <v>62</v>
      </c>
      <c r="P313" s="13" t="s">
        <v>526</v>
      </c>
      <c r="Q313" s="13" t="s">
        <v>2032</v>
      </c>
      <c r="R313" s="13" t="b">
        <f>FALSE()</f>
        <v>0</v>
      </c>
      <c r="S313" s="13" t="b">
        <f>FALSE()</f>
        <v>0</v>
      </c>
      <c r="T313" s="16" t="s">
        <v>65</v>
      </c>
      <c r="U313" s="13" t="s">
        <v>2033</v>
      </c>
      <c r="V313" s="13" t="s">
        <v>282</v>
      </c>
      <c r="W313" s="17" t="s">
        <v>67</v>
      </c>
    </row>
    <row r="314" spans="1:23" ht="30">
      <c r="A314" s="13" t="s">
        <v>2034</v>
      </c>
      <c r="B314" s="13" t="s">
        <v>2035</v>
      </c>
      <c r="C314" s="13" t="s">
        <v>2036</v>
      </c>
      <c r="D314" s="13" t="s">
        <v>672</v>
      </c>
      <c r="E314" s="13" t="s">
        <v>2037</v>
      </c>
      <c r="F314" s="13" t="s">
        <v>80</v>
      </c>
      <c r="G314" s="14">
        <v>0</v>
      </c>
      <c r="H314" s="14">
        <v>0.05</v>
      </c>
      <c r="I314" s="14">
        <v>0.3</v>
      </c>
      <c r="J314" s="13" t="s">
        <v>510</v>
      </c>
      <c r="K314" s="14">
        <v>0</v>
      </c>
      <c r="L314" s="14">
        <v>0.02</v>
      </c>
      <c r="M314" s="14">
        <v>0.12</v>
      </c>
      <c r="N314" s="22" t="s">
        <v>123</v>
      </c>
      <c r="O314" s="13" t="s">
        <v>62</v>
      </c>
      <c r="P314" s="13" t="s">
        <v>526</v>
      </c>
      <c r="Q314" s="13" t="s">
        <v>2038</v>
      </c>
      <c r="R314" s="13" t="b">
        <f>FALSE()</f>
        <v>0</v>
      </c>
      <c r="S314" s="13" t="b">
        <f>FALSE()</f>
        <v>0</v>
      </c>
      <c r="T314" s="16" t="s">
        <v>65</v>
      </c>
      <c r="U314" s="13" t="s">
        <v>2033</v>
      </c>
      <c r="V314" s="13" t="s">
        <v>282</v>
      </c>
      <c r="W314" s="17" t="s">
        <v>67</v>
      </c>
    </row>
    <row r="315" spans="1:23" ht="30">
      <c r="A315" s="13" t="s">
        <v>2039</v>
      </c>
      <c r="B315" s="13" t="s">
        <v>2040</v>
      </c>
      <c r="C315" s="13" t="s">
        <v>2041</v>
      </c>
      <c r="D315" s="13" t="s">
        <v>2042</v>
      </c>
      <c r="E315" s="13" t="s">
        <v>2043</v>
      </c>
      <c r="F315" s="13" t="s">
        <v>80</v>
      </c>
      <c r="G315" s="14">
        <v>0</v>
      </c>
      <c r="H315" s="14">
        <v>0.05</v>
      </c>
      <c r="I315" s="14">
        <v>0.3</v>
      </c>
      <c r="J315" s="13" t="s">
        <v>510</v>
      </c>
      <c r="K315" s="14">
        <v>0</v>
      </c>
      <c r="L315" s="14">
        <v>0.02</v>
      </c>
      <c r="M315" s="14">
        <v>0.12</v>
      </c>
      <c r="N315" s="15" t="s">
        <v>61</v>
      </c>
      <c r="O315" s="13" t="s">
        <v>62</v>
      </c>
      <c r="P315" s="13" t="s">
        <v>526</v>
      </c>
      <c r="Q315" s="13" t="s">
        <v>2044</v>
      </c>
      <c r="R315" s="13" t="b">
        <f>FALSE()</f>
        <v>0</v>
      </c>
      <c r="S315" s="13" t="b">
        <f>FALSE()</f>
        <v>0</v>
      </c>
      <c r="T315" s="16" t="s">
        <v>65</v>
      </c>
      <c r="U315" s="13" t="s">
        <v>2045</v>
      </c>
      <c r="V315" s="13" t="s">
        <v>282</v>
      </c>
      <c r="W315" s="17" t="s">
        <v>67</v>
      </c>
    </row>
    <row r="316" spans="1:23" ht="30">
      <c r="A316" s="13" t="s">
        <v>2046</v>
      </c>
      <c r="B316" s="13" t="s">
        <v>2047</v>
      </c>
      <c r="C316" s="13" t="s">
        <v>2048</v>
      </c>
      <c r="D316" s="13" t="s">
        <v>769</v>
      </c>
      <c r="E316" s="13" t="s">
        <v>2049</v>
      </c>
      <c r="F316" s="13" t="s">
        <v>80</v>
      </c>
      <c r="G316" s="14">
        <v>5</v>
      </c>
      <c r="H316" s="14">
        <v>20</v>
      </c>
      <c r="I316" s="14">
        <v>60</v>
      </c>
      <c r="J316" s="13" t="s">
        <v>905</v>
      </c>
      <c r="K316" s="14">
        <v>10</v>
      </c>
      <c r="L316" s="14">
        <v>40</v>
      </c>
      <c r="M316" s="14">
        <v>120</v>
      </c>
      <c r="N316" s="24" t="s">
        <v>140</v>
      </c>
      <c r="O316" s="13" t="s">
        <v>562</v>
      </c>
      <c r="P316" s="13" t="s">
        <v>526</v>
      </c>
      <c r="Q316" s="13" t="s">
        <v>2050</v>
      </c>
      <c r="R316" s="13" t="b">
        <f>TRUE()</f>
        <v>1</v>
      </c>
      <c r="S316" s="13" t="b">
        <f>TRUE()</f>
        <v>1</v>
      </c>
      <c r="T316" s="23" t="s">
        <v>126</v>
      </c>
      <c r="U316" s="13" t="s">
        <v>2051</v>
      </c>
      <c r="V316" s="13" t="s">
        <v>309</v>
      </c>
      <c r="W316" s="19" t="s">
        <v>96</v>
      </c>
    </row>
    <row r="317" spans="1:23" ht="30">
      <c r="A317" s="13" t="s">
        <v>2052</v>
      </c>
      <c r="B317" s="13" t="s">
        <v>2053</v>
      </c>
      <c r="C317" s="13" t="s">
        <v>2054</v>
      </c>
      <c r="D317" s="13" t="s">
        <v>121</v>
      </c>
      <c r="E317" s="13" t="s">
        <v>2055</v>
      </c>
      <c r="F317" s="13" t="s">
        <v>59</v>
      </c>
      <c r="G317" s="14">
        <v>0</v>
      </c>
      <c r="H317" s="14">
        <v>0.1</v>
      </c>
      <c r="I317" s="14">
        <v>0.3</v>
      </c>
      <c r="J317" s="13" t="s">
        <v>147</v>
      </c>
      <c r="K317" s="14">
        <v>0</v>
      </c>
      <c r="L317" s="14">
        <v>0.15</v>
      </c>
      <c r="M317" s="14">
        <v>0.45</v>
      </c>
      <c r="N317" s="22" t="s">
        <v>123</v>
      </c>
      <c r="O317" s="13" t="s">
        <v>62</v>
      </c>
      <c r="P317" s="13" t="s">
        <v>526</v>
      </c>
      <c r="Q317" s="13" t="s">
        <v>2056</v>
      </c>
      <c r="R317" s="13" t="b">
        <f>FALSE()</f>
        <v>0</v>
      </c>
      <c r="S317" s="13" t="b">
        <f>FALSE()</f>
        <v>0</v>
      </c>
      <c r="T317" s="16" t="s">
        <v>65</v>
      </c>
      <c r="U317" s="13" t="s">
        <v>2057</v>
      </c>
      <c r="V317" s="13" t="s">
        <v>149</v>
      </c>
      <c r="W317" s="17" t="s">
        <v>67</v>
      </c>
    </row>
    <row r="318" spans="1:23" ht="30">
      <c r="A318" s="13" t="s">
        <v>2058</v>
      </c>
      <c r="B318" s="13" t="s">
        <v>2059</v>
      </c>
      <c r="C318" s="13" t="s">
        <v>2060</v>
      </c>
      <c r="D318" s="13" t="s">
        <v>121</v>
      </c>
      <c r="E318" s="13" t="s">
        <v>146</v>
      </c>
      <c r="F318" s="13" t="s">
        <v>59</v>
      </c>
      <c r="G318" s="14">
        <v>0</v>
      </c>
      <c r="H318" s="14">
        <v>0.1</v>
      </c>
      <c r="I318" s="14">
        <v>0.3</v>
      </c>
      <c r="J318" s="13" t="s">
        <v>147</v>
      </c>
      <c r="K318" s="14">
        <v>0</v>
      </c>
      <c r="L318" s="14">
        <v>0.15</v>
      </c>
      <c r="M318" s="14">
        <v>0.45</v>
      </c>
      <c r="N318" s="22" t="s">
        <v>123</v>
      </c>
      <c r="O318" s="13" t="s">
        <v>62</v>
      </c>
      <c r="P318" s="13" t="s">
        <v>526</v>
      </c>
      <c r="Q318" s="13" t="s">
        <v>2061</v>
      </c>
      <c r="R318" s="13" t="b">
        <f>FALSE()</f>
        <v>0</v>
      </c>
      <c r="S318" s="13" t="b">
        <f>FALSE()</f>
        <v>0</v>
      </c>
      <c r="T318" s="16" t="s">
        <v>65</v>
      </c>
      <c r="U318" s="13" t="s">
        <v>2062</v>
      </c>
      <c r="V318" s="13" t="s">
        <v>149</v>
      </c>
      <c r="W318" s="17" t="s">
        <v>67</v>
      </c>
    </row>
    <row r="319" spans="1:23" ht="30">
      <c r="A319" s="13" t="s">
        <v>2063</v>
      </c>
      <c r="B319" s="13" t="s">
        <v>2064</v>
      </c>
      <c r="C319" s="13" t="s">
        <v>2065</v>
      </c>
      <c r="D319" s="13" t="s">
        <v>121</v>
      </c>
      <c r="E319" s="13" t="s">
        <v>2066</v>
      </c>
      <c r="F319" s="13" t="s">
        <v>59</v>
      </c>
      <c r="G319" s="14">
        <v>0</v>
      </c>
      <c r="H319" s="14">
        <v>0.1</v>
      </c>
      <c r="I319" s="14">
        <v>0.3</v>
      </c>
      <c r="J319" s="13" t="s">
        <v>147</v>
      </c>
      <c r="K319" s="14">
        <v>0</v>
      </c>
      <c r="L319" s="14">
        <v>0.15</v>
      </c>
      <c r="M319" s="14">
        <v>0.45</v>
      </c>
      <c r="N319" s="22" t="s">
        <v>123</v>
      </c>
      <c r="O319" s="13" t="s">
        <v>62</v>
      </c>
      <c r="P319" s="13" t="s">
        <v>526</v>
      </c>
      <c r="Q319" s="13" t="s">
        <v>2067</v>
      </c>
      <c r="R319" s="13" t="b">
        <f>FALSE()</f>
        <v>0</v>
      </c>
      <c r="S319" s="13" t="b">
        <f>FALSE()</f>
        <v>0</v>
      </c>
      <c r="T319" s="16" t="s">
        <v>65</v>
      </c>
      <c r="U319" s="13" t="s">
        <v>2068</v>
      </c>
      <c r="V319" s="13" t="s">
        <v>149</v>
      </c>
      <c r="W319" s="17" t="s">
        <v>67</v>
      </c>
    </row>
    <row r="320" spans="1:23" ht="30">
      <c r="A320" s="13" t="s">
        <v>2069</v>
      </c>
      <c r="B320" s="13" t="s">
        <v>2070</v>
      </c>
      <c r="C320" s="13" t="s">
        <v>2071</v>
      </c>
      <c r="D320" s="13" t="s">
        <v>121</v>
      </c>
      <c r="E320" s="13" t="s">
        <v>2072</v>
      </c>
      <c r="F320" s="13" t="s">
        <v>59</v>
      </c>
      <c r="G320" s="14">
        <v>5</v>
      </c>
      <c r="H320" s="14">
        <v>20</v>
      </c>
      <c r="I320" s="14">
        <v>80</v>
      </c>
      <c r="J320" s="13" t="s">
        <v>147</v>
      </c>
      <c r="K320" s="14">
        <v>7.5</v>
      </c>
      <c r="L320" s="14">
        <v>30</v>
      </c>
      <c r="M320" s="14">
        <v>120</v>
      </c>
      <c r="N320" s="15" t="s">
        <v>61</v>
      </c>
      <c r="O320" s="13" t="s">
        <v>62</v>
      </c>
      <c r="P320" s="13" t="s">
        <v>526</v>
      </c>
      <c r="Q320" s="13" t="s">
        <v>2073</v>
      </c>
      <c r="R320" s="13" t="b">
        <f>FALSE()</f>
        <v>0</v>
      </c>
      <c r="S320" s="13" t="b">
        <f>TRUE()</f>
        <v>1</v>
      </c>
      <c r="T320" s="23" t="s">
        <v>126</v>
      </c>
      <c r="U320" s="13" t="s">
        <v>2074</v>
      </c>
      <c r="V320" s="13" t="s">
        <v>149</v>
      </c>
      <c r="W320" s="19" t="s">
        <v>96</v>
      </c>
    </row>
    <row r="321" spans="1:23" ht="30">
      <c r="A321" s="13" t="s">
        <v>2075</v>
      </c>
      <c r="B321" s="13" t="s">
        <v>2076</v>
      </c>
      <c r="C321" s="13" t="s">
        <v>2077</v>
      </c>
      <c r="D321" s="13" t="s">
        <v>121</v>
      </c>
      <c r="E321" s="13" t="s">
        <v>2078</v>
      </c>
      <c r="F321" s="13" t="s">
        <v>59</v>
      </c>
      <c r="G321" s="14">
        <v>2</v>
      </c>
      <c r="H321" s="14">
        <v>10</v>
      </c>
      <c r="I321" s="14">
        <v>40</v>
      </c>
      <c r="J321" s="13" t="s">
        <v>60</v>
      </c>
      <c r="K321" s="14">
        <v>2</v>
      </c>
      <c r="L321" s="14">
        <v>10</v>
      </c>
      <c r="M321" s="14">
        <v>40</v>
      </c>
      <c r="N321" s="15" t="s">
        <v>61</v>
      </c>
      <c r="O321" s="13" t="s">
        <v>62</v>
      </c>
      <c r="P321" s="13" t="s">
        <v>1707</v>
      </c>
      <c r="Q321" s="13" t="s">
        <v>2079</v>
      </c>
      <c r="R321" s="13" t="b">
        <f>FALSE()</f>
        <v>0</v>
      </c>
      <c r="S321" s="13" t="b">
        <f>TRUE()</f>
        <v>1</v>
      </c>
      <c r="T321" s="18" t="s">
        <v>84</v>
      </c>
      <c r="U321" s="13" t="s">
        <v>2080</v>
      </c>
      <c r="V321" s="13" t="s">
        <v>189</v>
      </c>
      <c r="W321" s="19" t="s">
        <v>96</v>
      </c>
    </row>
    <row r="322" spans="1:23" ht="30">
      <c r="A322" s="13" t="s">
        <v>2081</v>
      </c>
      <c r="B322" s="13" t="s">
        <v>2082</v>
      </c>
      <c r="C322" s="13" t="s">
        <v>2083</v>
      </c>
      <c r="D322" s="13" t="s">
        <v>672</v>
      </c>
      <c r="E322" s="13" t="s">
        <v>2084</v>
      </c>
      <c r="F322" s="13" t="s">
        <v>59</v>
      </c>
      <c r="G322" s="14">
        <v>3</v>
      </c>
      <c r="H322" s="14">
        <v>15</v>
      </c>
      <c r="I322" s="14">
        <v>60</v>
      </c>
      <c r="J322" s="13" t="s">
        <v>132</v>
      </c>
      <c r="K322" s="14">
        <v>1.2</v>
      </c>
      <c r="L322" s="14">
        <v>6</v>
      </c>
      <c r="M322" s="14">
        <v>24</v>
      </c>
      <c r="N322" s="18" t="s">
        <v>92</v>
      </c>
      <c r="O322" s="13" t="s">
        <v>562</v>
      </c>
      <c r="P322" s="13" t="s">
        <v>1707</v>
      </c>
      <c r="Q322" s="13" t="s">
        <v>2085</v>
      </c>
      <c r="R322" s="13" t="b">
        <f>TRUE()</f>
        <v>1</v>
      </c>
      <c r="S322" s="13" t="b">
        <f>TRUE()</f>
        <v>1</v>
      </c>
      <c r="T322" s="23" t="s">
        <v>126</v>
      </c>
      <c r="U322" s="13" t="s">
        <v>2086</v>
      </c>
      <c r="V322" s="13" t="s">
        <v>189</v>
      </c>
      <c r="W322" s="19" t="s">
        <v>96</v>
      </c>
    </row>
    <row r="323" spans="1:23" ht="30">
      <c r="A323" s="13" t="s">
        <v>2087</v>
      </c>
      <c r="B323" s="13" t="s">
        <v>2088</v>
      </c>
      <c r="C323" s="13" t="s">
        <v>2089</v>
      </c>
      <c r="D323" s="13" t="s">
        <v>672</v>
      </c>
      <c r="E323" s="13" t="s">
        <v>2090</v>
      </c>
      <c r="F323" s="13" t="s">
        <v>59</v>
      </c>
      <c r="G323" s="14">
        <v>2</v>
      </c>
      <c r="H323" s="14">
        <v>10</v>
      </c>
      <c r="I323" s="14">
        <v>40</v>
      </c>
      <c r="J323" s="13" t="s">
        <v>195</v>
      </c>
      <c r="K323" s="14">
        <v>1</v>
      </c>
      <c r="L323" s="14">
        <v>5</v>
      </c>
      <c r="M323" s="14">
        <v>20</v>
      </c>
      <c r="N323" s="18" t="s">
        <v>92</v>
      </c>
      <c r="O323" s="13" t="s">
        <v>562</v>
      </c>
      <c r="P323" s="13" t="s">
        <v>1707</v>
      </c>
      <c r="Q323" s="13" t="s">
        <v>2091</v>
      </c>
      <c r="R323" s="13" t="b">
        <f>TRUE()</f>
        <v>1</v>
      </c>
      <c r="S323" s="13" t="b">
        <f>TRUE()</f>
        <v>1</v>
      </c>
      <c r="T323" s="18" t="s">
        <v>84</v>
      </c>
      <c r="U323" s="13" t="s">
        <v>2092</v>
      </c>
      <c r="V323" s="13" t="s">
        <v>189</v>
      </c>
      <c r="W323" s="21" t="s">
        <v>110</v>
      </c>
    </row>
    <row r="324" spans="1:23" ht="30">
      <c r="A324" s="13" t="s">
        <v>2093</v>
      </c>
      <c r="B324" s="13" t="s">
        <v>2094</v>
      </c>
      <c r="C324" s="13" t="s">
        <v>2095</v>
      </c>
      <c r="D324" s="13" t="s">
        <v>1201</v>
      </c>
      <c r="E324" s="13" t="s">
        <v>2096</v>
      </c>
      <c r="F324" s="13" t="s">
        <v>59</v>
      </c>
      <c r="G324" s="14">
        <v>5</v>
      </c>
      <c r="H324" s="14">
        <v>20</v>
      </c>
      <c r="I324" s="14">
        <v>80</v>
      </c>
      <c r="J324" s="13" t="s">
        <v>195</v>
      </c>
      <c r="K324" s="14">
        <v>2.5</v>
      </c>
      <c r="L324" s="14">
        <v>10</v>
      </c>
      <c r="M324" s="14">
        <v>40</v>
      </c>
      <c r="N324" s="18" t="s">
        <v>92</v>
      </c>
      <c r="O324" s="13" t="s">
        <v>562</v>
      </c>
      <c r="P324" s="13" t="s">
        <v>1707</v>
      </c>
      <c r="Q324" s="13" t="s">
        <v>2097</v>
      </c>
      <c r="R324" s="13" t="b">
        <f>TRUE()</f>
        <v>1</v>
      </c>
      <c r="S324" s="13" t="b">
        <f>TRUE()</f>
        <v>1</v>
      </c>
      <c r="T324" s="23" t="s">
        <v>126</v>
      </c>
      <c r="U324" s="13" t="s">
        <v>2098</v>
      </c>
      <c r="V324" s="13" t="s">
        <v>189</v>
      </c>
      <c r="W324" s="19" t="s">
        <v>96</v>
      </c>
    </row>
    <row r="325" spans="1:23" ht="30">
      <c r="A325" s="13" t="s">
        <v>2099</v>
      </c>
      <c r="B325" s="13" t="s">
        <v>2100</v>
      </c>
      <c r="C325" s="13" t="s">
        <v>2101</v>
      </c>
      <c r="D325" s="13" t="s">
        <v>121</v>
      </c>
      <c r="E325" s="13" t="s">
        <v>2102</v>
      </c>
      <c r="F325" s="13" t="s">
        <v>59</v>
      </c>
      <c r="G325" s="14">
        <v>3</v>
      </c>
      <c r="H325" s="14">
        <v>15</v>
      </c>
      <c r="I325" s="14">
        <v>50</v>
      </c>
      <c r="J325" s="13" t="s">
        <v>91</v>
      </c>
      <c r="K325" s="14">
        <v>0.9</v>
      </c>
      <c r="L325" s="14">
        <v>4.5</v>
      </c>
      <c r="M325" s="14">
        <v>15</v>
      </c>
      <c r="N325" s="18" t="s">
        <v>92</v>
      </c>
      <c r="O325" s="13" t="s">
        <v>562</v>
      </c>
      <c r="P325" s="13" t="s">
        <v>526</v>
      </c>
      <c r="Q325" s="13" t="s">
        <v>2103</v>
      </c>
      <c r="R325" s="13" t="b">
        <f>TRUE()</f>
        <v>1</v>
      </c>
      <c r="S325" s="13" t="b">
        <f>TRUE()</f>
        <v>1</v>
      </c>
      <c r="T325" s="18" t="s">
        <v>84</v>
      </c>
      <c r="U325" s="13" t="s">
        <v>2104</v>
      </c>
      <c r="V325" s="13" t="s">
        <v>161</v>
      </c>
      <c r="W325" s="21" t="s">
        <v>110</v>
      </c>
    </row>
    <row r="326" spans="1:23" ht="30">
      <c r="A326" s="13" t="s">
        <v>2105</v>
      </c>
      <c r="B326" s="13" t="s">
        <v>2106</v>
      </c>
      <c r="C326" s="13" t="s">
        <v>2107</v>
      </c>
      <c r="D326" s="13" t="s">
        <v>2108</v>
      </c>
      <c r="E326" s="13" t="s">
        <v>2109</v>
      </c>
      <c r="F326" s="13" t="s">
        <v>59</v>
      </c>
      <c r="G326" s="14">
        <v>5</v>
      </c>
      <c r="H326" s="14">
        <v>20</v>
      </c>
      <c r="I326" s="14">
        <v>70</v>
      </c>
      <c r="J326" s="13" t="s">
        <v>147</v>
      </c>
      <c r="K326" s="14">
        <v>7.5</v>
      </c>
      <c r="L326" s="14">
        <v>30</v>
      </c>
      <c r="M326" s="14">
        <v>105</v>
      </c>
      <c r="N326" s="18" t="s">
        <v>92</v>
      </c>
      <c r="O326" s="13" t="s">
        <v>562</v>
      </c>
      <c r="P326" s="13" t="s">
        <v>526</v>
      </c>
      <c r="Q326" s="13" t="s">
        <v>2110</v>
      </c>
      <c r="R326" s="13" t="b">
        <f>TRUE()</f>
        <v>1</v>
      </c>
      <c r="S326" s="13" t="b">
        <f>TRUE()</f>
        <v>1</v>
      </c>
      <c r="T326" s="23" t="s">
        <v>126</v>
      </c>
      <c r="U326" s="13" t="s">
        <v>2111</v>
      </c>
      <c r="V326" s="13" t="s">
        <v>161</v>
      </c>
      <c r="W326" s="19" t="s">
        <v>96</v>
      </c>
    </row>
    <row r="327" spans="1:23" ht="30">
      <c r="A327" s="13" t="s">
        <v>2112</v>
      </c>
      <c r="B327" s="13" t="s">
        <v>2113</v>
      </c>
      <c r="C327" s="13" t="s">
        <v>2114</v>
      </c>
      <c r="D327" s="13" t="s">
        <v>1085</v>
      </c>
      <c r="E327" s="13" t="s">
        <v>2115</v>
      </c>
      <c r="F327" s="13" t="s">
        <v>59</v>
      </c>
      <c r="G327" s="14">
        <v>5</v>
      </c>
      <c r="H327" s="14">
        <v>20</v>
      </c>
      <c r="I327" s="14">
        <v>70</v>
      </c>
      <c r="J327" s="13" t="s">
        <v>147</v>
      </c>
      <c r="K327" s="14">
        <v>7.5</v>
      </c>
      <c r="L327" s="14">
        <v>30</v>
      </c>
      <c r="M327" s="14">
        <v>105</v>
      </c>
      <c r="N327" s="18" t="s">
        <v>92</v>
      </c>
      <c r="O327" s="13" t="s">
        <v>562</v>
      </c>
      <c r="P327" s="13" t="s">
        <v>526</v>
      </c>
      <c r="Q327" s="13" t="s">
        <v>2116</v>
      </c>
      <c r="R327" s="13" t="b">
        <f>TRUE()</f>
        <v>1</v>
      </c>
      <c r="S327" s="13" t="b">
        <f>TRUE()</f>
        <v>1</v>
      </c>
      <c r="T327" s="23" t="s">
        <v>126</v>
      </c>
      <c r="U327" s="13" t="s">
        <v>2117</v>
      </c>
      <c r="V327" s="13" t="s">
        <v>161</v>
      </c>
      <c r="W327" s="19" t="s">
        <v>96</v>
      </c>
    </row>
    <row r="328" spans="1:23" ht="30">
      <c r="A328" s="13" t="s">
        <v>2118</v>
      </c>
      <c r="B328" s="13" t="s">
        <v>2119</v>
      </c>
      <c r="C328" s="13" t="s">
        <v>2120</v>
      </c>
      <c r="D328" s="13" t="s">
        <v>121</v>
      </c>
      <c r="E328" s="13" t="s">
        <v>2121</v>
      </c>
      <c r="F328" s="13" t="s">
        <v>59</v>
      </c>
      <c r="G328" s="14">
        <v>0</v>
      </c>
      <c r="H328" s="14">
        <v>0.5</v>
      </c>
      <c r="I328" s="14">
        <v>3</v>
      </c>
      <c r="J328" s="13" t="s">
        <v>60</v>
      </c>
      <c r="K328" s="14">
        <v>0</v>
      </c>
      <c r="L328" s="14">
        <v>0.5</v>
      </c>
      <c r="M328" s="14">
        <v>3</v>
      </c>
      <c r="N328" s="15" t="s">
        <v>61</v>
      </c>
      <c r="O328" s="13" t="s">
        <v>62</v>
      </c>
      <c r="P328" s="13" t="s">
        <v>526</v>
      </c>
      <c r="Q328" s="13" t="s">
        <v>2122</v>
      </c>
      <c r="R328" s="13" t="b">
        <f>FALSE()</f>
        <v>0</v>
      </c>
      <c r="S328" s="13" t="b">
        <f>FALSE()</f>
        <v>0</v>
      </c>
      <c r="T328" s="16" t="s">
        <v>65</v>
      </c>
      <c r="U328" s="13" t="s">
        <v>2123</v>
      </c>
      <c r="V328" s="13" t="s">
        <v>2124</v>
      </c>
      <c r="W328" s="17" t="s">
        <v>67</v>
      </c>
    </row>
    <row r="329" spans="1:23" ht="30">
      <c r="A329" s="13" t="s">
        <v>2125</v>
      </c>
      <c r="B329" s="13" t="s">
        <v>2126</v>
      </c>
      <c r="C329" s="13" t="s">
        <v>2127</v>
      </c>
      <c r="D329" s="13" t="s">
        <v>121</v>
      </c>
      <c r="E329" s="13" t="s">
        <v>2128</v>
      </c>
      <c r="F329" s="13" t="s">
        <v>59</v>
      </c>
      <c r="G329" s="14">
        <v>0.5</v>
      </c>
      <c r="H329" s="14">
        <v>3</v>
      </c>
      <c r="I329" s="14">
        <v>12</v>
      </c>
      <c r="J329" s="13" t="s">
        <v>195</v>
      </c>
      <c r="K329" s="14">
        <v>0.25</v>
      </c>
      <c r="L329" s="14">
        <v>1.5</v>
      </c>
      <c r="M329" s="14">
        <v>6</v>
      </c>
      <c r="N329" s="18" t="s">
        <v>92</v>
      </c>
      <c r="O329" s="13" t="s">
        <v>562</v>
      </c>
      <c r="P329" s="13" t="s">
        <v>526</v>
      </c>
      <c r="Q329" s="13" t="s">
        <v>2129</v>
      </c>
      <c r="R329" s="13" t="b">
        <f>FALSE()</f>
        <v>0</v>
      </c>
      <c r="S329" s="13" t="b">
        <f>FALSE()</f>
        <v>0</v>
      </c>
      <c r="T329" s="16" t="s">
        <v>65</v>
      </c>
      <c r="U329" s="13" t="s">
        <v>2130</v>
      </c>
      <c r="V329" s="13" t="s">
        <v>2131</v>
      </c>
      <c r="W329" s="20" t="s">
        <v>103</v>
      </c>
    </row>
    <row r="330" spans="1:23" ht="30">
      <c r="A330" s="13" t="s">
        <v>2132</v>
      </c>
      <c r="B330" s="13" t="s">
        <v>2133</v>
      </c>
      <c r="C330" s="13" t="s">
        <v>2134</v>
      </c>
      <c r="D330" s="13" t="s">
        <v>121</v>
      </c>
      <c r="E330" s="13" t="s">
        <v>2135</v>
      </c>
      <c r="F330" s="13" t="s">
        <v>59</v>
      </c>
      <c r="G330" s="14">
        <v>0</v>
      </c>
      <c r="H330" s="14">
        <v>0.3</v>
      </c>
      <c r="I330" s="14">
        <v>1.5</v>
      </c>
      <c r="J330" s="13" t="s">
        <v>319</v>
      </c>
      <c r="K330" s="14">
        <v>0</v>
      </c>
      <c r="L330" s="14">
        <v>0.36</v>
      </c>
      <c r="M330" s="14">
        <v>1.8</v>
      </c>
      <c r="N330" s="15" t="s">
        <v>61</v>
      </c>
      <c r="O330" s="13" t="s">
        <v>62</v>
      </c>
      <c r="P330" s="13" t="s">
        <v>526</v>
      </c>
      <c r="Q330" s="13" t="s">
        <v>2136</v>
      </c>
      <c r="R330" s="13" t="b">
        <f>FALSE()</f>
        <v>0</v>
      </c>
      <c r="S330" s="13" t="b">
        <f>FALSE()</f>
        <v>0</v>
      </c>
      <c r="T330" s="16" t="s">
        <v>65</v>
      </c>
      <c r="U330" s="13" t="s">
        <v>2137</v>
      </c>
      <c r="V330" s="13" t="s">
        <v>154</v>
      </c>
      <c r="W330" s="17" t="s">
        <v>67</v>
      </c>
    </row>
    <row r="331" spans="1:23" ht="30">
      <c r="A331" s="13" t="s">
        <v>2138</v>
      </c>
      <c r="B331" s="13" t="s">
        <v>2139</v>
      </c>
      <c r="C331" s="13" t="s">
        <v>2140</v>
      </c>
      <c r="D331" s="13" t="s">
        <v>121</v>
      </c>
      <c r="E331" s="13" t="s">
        <v>2141</v>
      </c>
      <c r="F331" s="13" t="s">
        <v>59</v>
      </c>
      <c r="G331" s="14">
        <v>0</v>
      </c>
      <c r="H331" s="14">
        <v>0.5</v>
      </c>
      <c r="I331" s="14">
        <v>5</v>
      </c>
      <c r="J331" s="13" t="s">
        <v>60</v>
      </c>
      <c r="K331" s="14">
        <v>0</v>
      </c>
      <c r="L331" s="14">
        <v>0.5</v>
      </c>
      <c r="M331" s="14">
        <v>5</v>
      </c>
      <c r="N331" s="15" t="s">
        <v>61</v>
      </c>
      <c r="O331" s="13" t="s">
        <v>62</v>
      </c>
      <c r="P331" s="13" t="s">
        <v>2142</v>
      </c>
      <c r="Q331" s="13" t="s">
        <v>2143</v>
      </c>
      <c r="R331" s="13" t="b">
        <f>FALSE()</f>
        <v>0</v>
      </c>
      <c r="S331" s="13" t="b">
        <f>FALSE()</f>
        <v>0</v>
      </c>
      <c r="T331" s="16" t="s">
        <v>65</v>
      </c>
      <c r="U331" s="13" t="s">
        <v>2144</v>
      </c>
      <c r="V331" s="13" t="s">
        <v>2145</v>
      </c>
      <c r="W331" s="17" t="s">
        <v>67</v>
      </c>
    </row>
    <row r="332" spans="1:23" ht="30">
      <c r="A332" s="13" t="s">
        <v>2146</v>
      </c>
      <c r="B332" s="13" t="s">
        <v>2147</v>
      </c>
      <c r="C332" s="13" t="s">
        <v>451</v>
      </c>
      <c r="D332" s="13" t="s">
        <v>1344</v>
      </c>
      <c r="E332" s="13" t="s">
        <v>2148</v>
      </c>
      <c r="F332" s="13" t="s">
        <v>59</v>
      </c>
      <c r="G332" s="14">
        <v>1</v>
      </c>
      <c r="H332" s="14">
        <v>5</v>
      </c>
      <c r="I332" s="14">
        <v>15</v>
      </c>
      <c r="J332" s="13" t="s">
        <v>60</v>
      </c>
      <c r="K332" s="14">
        <v>1</v>
      </c>
      <c r="L332" s="14">
        <v>5</v>
      </c>
      <c r="M332" s="14">
        <v>15</v>
      </c>
      <c r="N332" s="18" t="s">
        <v>92</v>
      </c>
      <c r="O332" s="13" t="s">
        <v>562</v>
      </c>
      <c r="P332" s="13" t="s">
        <v>526</v>
      </c>
      <c r="Q332" s="13" t="s">
        <v>2149</v>
      </c>
      <c r="R332" s="13" t="b">
        <f>TRUE()</f>
        <v>1</v>
      </c>
      <c r="S332" s="13" t="b">
        <f>TRUE()</f>
        <v>1</v>
      </c>
      <c r="T332" s="18" t="s">
        <v>84</v>
      </c>
      <c r="U332" s="13" t="s">
        <v>2150</v>
      </c>
      <c r="V332" s="13" t="s">
        <v>246</v>
      </c>
      <c r="W332" s="21" t="s">
        <v>110</v>
      </c>
    </row>
    <row r="333" spans="1:23">
      <c r="A333" s="13" t="s">
        <v>2151</v>
      </c>
      <c r="B333" s="13" t="s">
        <v>2152</v>
      </c>
      <c r="C333" s="13" t="s">
        <v>2153</v>
      </c>
      <c r="D333" s="13" t="s">
        <v>121</v>
      </c>
      <c r="E333" s="13" t="s">
        <v>2154</v>
      </c>
      <c r="F333" s="13" t="s">
        <v>59</v>
      </c>
      <c r="G333" s="14">
        <v>0</v>
      </c>
      <c r="H333" s="14">
        <v>0.1</v>
      </c>
      <c r="I333" s="14">
        <v>0.5</v>
      </c>
      <c r="J333" s="13" t="s">
        <v>72</v>
      </c>
      <c r="K333" s="14">
        <v>0</v>
      </c>
      <c r="L333" s="14">
        <v>0.125</v>
      </c>
      <c r="M333" s="14">
        <v>0.625</v>
      </c>
      <c r="N333" s="22" t="s">
        <v>123</v>
      </c>
      <c r="O333" s="13" t="s">
        <v>62</v>
      </c>
      <c r="P333" s="13" t="s">
        <v>2155</v>
      </c>
      <c r="Q333" s="13" t="s">
        <v>2156</v>
      </c>
      <c r="R333" s="13" t="b">
        <f>FALSE()</f>
        <v>0</v>
      </c>
      <c r="S333" s="13" t="b">
        <f>FALSE()</f>
        <v>0</v>
      </c>
      <c r="T333" s="16" t="s">
        <v>65</v>
      </c>
      <c r="U333" s="13" t="s">
        <v>2157</v>
      </c>
      <c r="V333" s="13" t="s">
        <v>74</v>
      </c>
      <c r="W333" s="17" t="s">
        <v>67</v>
      </c>
    </row>
    <row r="334" spans="1:23" ht="30">
      <c r="A334" s="13" t="s">
        <v>2158</v>
      </c>
      <c r="B334" s="13" t="s">
        <v>2159</v>
      </c>
      <c r="C334" s="13" t="s">
        <v>2160</v>
      </c>
      <c r="D334" s="13" t="s">
        <v>2161</v>
      </c>
      <c r="E334" s="13" t="s">
        <v>2162</v>
      </c>
      <c r="F334" s="13" t="s">
        <v>59</v>
      </c>
      <c r="G334" s="14">
        <v>0</v>
      </c>
      <c r="H334" s="14">
        <v>0.2</v>
      </c>
      <c r="I334" s="14">
        <v>1</v>
      </c>
      <c r="J334" s="13" t="s">
        <v>91</v>
      </c>
      <c r="K334" s="14">
        <v>0</v>
      </c>
      <c r="L334" s="14">
        <v>0.06</v>
      </c>
      <c r="M334" s="14">
        <v>0.3</v>
      </c>
      <c r="N334" s="18" t="s">
        <v>92</v>
      </c>
      <c r="O334" s="13" t="s">
        <v>562</v>
      </c>
      <c r="P334" s="13" t="s">
        <v>526</v>
      </c>
      <c r="Q334" s="13" t="s">
        <v>2163</v>
      </c>
      <c r="R334" s="13" t="b">
        <f>FALSE()</f>
        <v>0</v>
      </c>
      <c r="S334" s="13" t="b">
        <f>FALSE()</f>
        <v>0</v>
      </c>
      <c r="T334" s="16" t="s">
        <v>65</v>
      </c>
      <c r="U334" s="13" t="s">
        <v>2164</v>
      </c>
      <c r="V334" s="13" t="s">
        <v>74</v>
      </c>
      <c r="W334" s="20" t="s">
        <v>103</v>
      </c>
    </row>
    <row r="335" spans="1:23" ht="30">
      <c r="A335" s="13" t="s">
        <v>2165</v>
      </c>
      <c r="B335" s="13" t="s">
        <v>2166</v>
      </c>
      <c r="C335" s="13" t="s">
        <v>2167</v>
      </c>
      <c r="D335" s="13" t="s">
        <v>867</v>
      </c>
      <c r="E335" s="13" t="s">
        <v>2168</v>
      </c>
      <c r="F335" s="13" t="s">
        <v>59</v>
      </c>
      <c r="G335" s="14">
        <v>0</v>
      </c>
      <c r="H335" s="14">
        <v>0.1</v>
      </c>
      <c r="I335" s="14">
        <v>0.3</v>
      </c>
      <c r="J335" s="13" t="s">
        <v>381</v>
      </c>
      <c r="K335" s="14">
        <v>0</v>
      </c>
      <c r="L335" s="14">
        <v>1.4999999999999999E-2</v>
      </c>
      <c r="M335" s="14">
        <v>4.4999999999999998E-2</v>
      </c>
      <c r="N335" s="18" t="s">
        <v>92</v>
      </c>
      <c r="O335" s="13" t="s">
        <v>562</v>
      </c>
      <c r="P335" s="13" t="s">
        <v>526</v>
      </c>
      <c r="Q335" s="13" t="s">
        <v>2169</v>
      </c>
      <c r="R335" s="13" t="b">
        <f>FALSE()</f>
        <v>0</v>
      </c>
      <c r="S335" s="13" t="b">
        <f>FALSE()</f>
        <v>0</v>
      </c>
      <c r="T335" s="16" t="s">
        <v>65</v>
      </c>
      <c r="U335" s="13" t="s">
        <v>2170</v>
      </c>
      <c r="V335" s="13" t="s">
        <v>342</v>
      </c>
      <c r="W335" s="20" t="s">
        <v>103</v>
      </c>
    </row>
    <row r="336" spans="1:23" ht="30">
      <c r="A336" s="13" t="s">
        <v>2171</v>
      </c>
      <c r="B336" s="13" t="s">
        <v>2172</v>
      </c>
      <c r="C336" s="13" t="s">
        <v>2173</v>
      </c>
      <c r="D336" s="13" t="s">
        <v>1726</v>
      </c>
      <c r="E336" s="13" t="s">
        <v>2174</v>
      </c>
      <c r="F336" s="13" t="s">
        <v>59</v>
      </c>
      <c r="G336" s="14">
        <v>5</v>
      </c>
      <c r="H336" s="14">
        <v>20</v>
      </c>
      <c r="I336" s="14">
        <v>80</v>
      </c>
      <c r="J336" s="13" t="s">
        <v>381</v>
      </c>
      <c r="K336" s="14">
        <v>0.75</v>
      </c>
      <c r="L336" s="14">
        <v>3</v>
      </c>
      <c r="M336" s="14">
        <v>12</v>
      </c>
      <c r="N336" s="24" t="s">
        <v>140</v>
      </c>
      <c r="O336" s="13" t="s">
        <v>562</v>
      </c>
      <c r="P336" s="13" t="s">
        <v>526</v>
      </c>
      <c r="Q336" s="13" t="s">
        <v>2175</v>
      </c>
      <c r="R336" s="13" t="b">
        <f>TRUE()</f>
        <v>1</v>
      </c>
      <c r="S336" s="13" t="b">
        <f>TRUE()</f>
        <v>1</v>
      </c>
      <c r="T336" s="23" t="s">
        <v>126</v>
      </c>
      <c r="U336" s="13" t="s">
        <v>2176</v>
      </c>
      <c r="V336" s="13" t="s">
        <v>74</v>
      </c>
      <c r="W336" s="20" t="s">
        <v>103</v>
      </c>
    </row>
    <row r="337" spans="1:23" ht="30">
      <c r="A337" s="13" t="s">
        <v>2177</v>
      </c>
      <c r="B337" s="13" t="s">
        <v>2178</v>
      </c>
      <c r="C337" s="13" t="s">
        <v>497</v>
      </c>
      <c r="D337" s="13" t="s">
        <v>121</v>
      </c>
      <c r="E337" s="13" t="s">
        <v>2179</v>
      </c>
      <c r="F337" s="13" t="s">
        <v>59</v>
      </c>
      <c r="G337" s="14">
        <v>5</v>
      </c>
      <c r="H337" s="14">
        <v>25</v>
      </c>
      <c r="I337" s="14">
        <v>80</v>
      </c>
      <c r="J337" s="13" t="s">
        <v>91</v>
      </c>
      <c r="K337" s="14">
        <v>1.5</v>
      </c>
      <c r="L337" s="14">
        <v>7.5</v>
      </c>
      <c r="M337" s="14">
        <v>24</v>
      </c>
      <c r="N337" s="15" t="s">
        <v>61</v>
      </c>
      <c r="O337" s="13" t="s">
        <v>62</v>
      </c>
      <c r="P337" s="13" t="s">
        <v>526</v>
      </c>
      <c r="Q337" s="13" t="s">
        <v>2180</v>
      </c>
      <c r="R337" s="13" t="b">
        <f>TRUE()</f>
        <v>1</v>
      </c>
      <c r="S337" s="13" t="b">
        <f>TRUE()</f>
        <v>1</v>
      </c>
      <c r="T337" s="18" t="s">
        <v>84</v>
      </c>
      <c r="U337" s="13" t="s">
        <v>2181</v>
      </c>
      <c r="V337" s="13" t="s">
        <v>161</v>
      </c>
      <c r="W337" s="19" t="s">
        <v>96</v>
      </c>
    </row>
    <row r="338" spans="1:23" ht="30">
      <c r="A338" s="13" t="s">
        <v>2182</v>
      </c>
      <c r="B338" s="13" t="s">
        <v>2183</v>
      </c>
      <c r="C338" s="13" t="s">
        <v>2184</v>
      </c>
      <c r="D338" s="13" t="s">
        <v>121</v>
      </c>
      <c r="E338" s="13" t="s">
        <v>2185</v>
      </c>
      <c r="F338" s="13" t="s">
        <v>59</v>
      </c>
      <c r="G338" s="14">
        <v>15</v>
      </c>
      <c r="H338" s="14">
        <v>80</v>
      </c>
      <c r="I338" s="14">
        <v>400</v>
      </c>
      <c r="J338" s="13" t="s">
        <v>91</v>
      </c>
      <c r="K338" s="14">
        <v>4.5</v>
      </c>
      <c r="L338" s="14">
        <v>24</v>
      </c>
      <c r="M338" s="14">
        <v>120</v>
      </c>
      <c r="N338" s="22" t="s">
        <v>123</v>
      </c>
      <c r="O338" s="13" t="s">
        <v>62</v>
      </c>
      <c r="P338" s="13" t="s">
        <v>985</v>
      </c>
      <c r="Q338" s="13" t="s">
        <v>2186</v>
      </c>
      <c r="R338" s="13" t="b">
        <f>TRUE()</f>
        <v>1</v>
      </c>
      <c r="S338" s="13" t="b">
        <f>TRUE()</f>
        <v>1</v>
      </c>
      <c r="T338" s="23" t="s">
        <v>126</v>
      </c>
      <c r="U338" s="13" t="s">
        <v>2187</v>
      </c>
      <c r="V338" s="13" t="s">
        <v>161</v>
      </c>
      <c r="W338" s="19" t="s">
        <v>96</v>
      </c>
    </row>
    <row r="339" spans="1:23" ht="30">
      <c r="A339" s="13" t="s">
        <v>2188</v>
      </c>
      <c r="B339" s="13" t="s">
        <v>2189</v>
      </c>
      <c r="C339" s="13" t="s">
        <v>2190</v>
      </c>
      <c r="D339" s="13" t="s">
        <v>121</v>
      </c>
      <c r="E339" s="13" t="s">
        <v>2191</v>
      </c>
      <c r="F339" s="13" t="s">
        <v>59</v>
      </c>
      <c r="G339" s="14">
        <v>2</v>
      </c>
      <c r="H339" s="14">
        <v>10</v>
      </c>
      <c r="I339" s="14">
        <v>40</v>
      </c>
      <c r="J339" s="13" t="s">
        <v>60</v>
      </c>
      <c r="K339" s="14">
        <v>2</v>
      </c>
      <c r="L339" s="14">
        <v>10</v>
      </c>
      <c r="M339" s="14">
        <v>40</v>
      </c>
      <c r="N339" s="15" t="s">
        <v>61</v>
      </c>
      <c r="O339" s="13" t="s">
        <v>62</v>
      </c>
      <c r="P339" s="13" t="s">
        <v>526</v>
      </c>
      <c r="Q339" s="13" t="s">
        <v>2192</v>
      </c>
      <c r="R339" s="13" t="b">
        <f>FALSE()</f>
        <v>0</v>
      </c>
      <c r="S339" s="13" t="b">
        <f>TRUE()</f>
        <v>1</v>
      </c>
      <c r="T339" s="23" t="s">
        <v>126</v>
      </c>
      <c r="U339" s="13" t="s">
        <v>2193</v>
      </c>
      <c r="V339" s="13" t="s">
        <v>154</v>
      </c>
      <c r="W339" s="19" t="s">
        <v>96</v>
      </c>
    </row>
    <row r="340" spans="1:23" ht="30">
      <c r="A340" s="13" t="s">
        <v>2194</v>
      </c>
      <c r="B340" s="13" t="s">
        <v>2195</v>
      </c>
      <c r="C340" s="13" t="s">
        <v>2196</v>
      </c>
      <c r="D340" s="13" t="s">
        <v>121</v>
      </c>
      <c r="E340" s="13" t="s">
        <v>2197</v>
      </c>
      <c r="F340" s="13" t="s">
        <v>59</v>
      </c>
      <c r="G340" s="14">
        <v>0</v>
      </c>
      <c r="H340" s="14">
        <v>0.2</v>
      </c>
      <c r="I340" s="14">
        <v>1</v>
      </c>
      <c r="J340" s="13" t="s">
        <v>2198</v>
      </c>
      <c r="K340" s="14">
        <v>0</v>
      </c>
      <c r="L340" s="14">
        <v>0.12</v>
      </c>
      <c r="M340" s="14">
        <v>0.6</v>
      </c>
      <c r="N340" s="15" t="s">
        <v>61</v>
      </c>
      <c r="O340" s="13" t="s">
        <v>62</v>
      </c>
      <c r="P340" s="13" t="s">
        <v>526</v>
      </c>
      <c r="Q340" s="13" t="s">
        <v>2199</v>
      </c>
      <c r="R340" s="13" t="b">
        <f>FALSE()</f>
        <v>0</v>
      </c>
      <c r="S340" s="13" t="b">
        <f>FALSE()</f>
        <v>0</v>
      </c>
      <c r="T340" s="16" t="s">
        <v>65</v>
      </c>
      <c r="U340" s="13" t="s">
        <v>2200</v>
      </c>
      <c r="V340" s="13" t="s">
        <v>154</v>
      </c>
      <c r="W340" s="17" t="s">
        <v>67</v>
      </c>
    </row>
    <row r="341" spans="1:23" ht="30">
      <c r="A341" s="13" t="s">
        <v>2201</v>
      </c>
      <c r="B341" s="13" t="s">
        <v>2202</v>
      </c>
      <c r="C341" s="13" t="s">
        <v>2203</v>
      </c>
      <c r="D341" s="13" t="s">
        <v>121</v>
      </c>
      <c r="E341" s="13" t="s">
        <v>2204</v>
      </c>
      <c r="F341" s="13" t="s">
        <v>59</v>
      </c>
      <c r="G341" s="14">
        <v>0</v>
      </c>
      <c r="H341" s="14">
        <v>0.3</v>
      </c>
      <c r="I341" s="14">
        <v>1.5</v>
      </c>
      <c r="J341" s="13" t="s">
        <v>60</v>
      </c>
      <c r="K341" s="14">
        <v>0</v>
      </c>
      <c r="L341" s="14">
        <v>0.3</v>
      </c>
      <c r="M341" s="14">
        <v>1.5</v>
      </c>
      <c r="N341" s="15" t="s">
        <v>61</v>
      </c>
      <c r="O341" s="13" t="s">
        <v>62</v>
      </c>
      <c r="P341" s="13" t="s">
        <v>526</v>
      </c>
      <c r="Q341" s="13" t="s">
        <v>2205</v>
      </c>
      <c r="R341" s="13" t="b">
        <f>FALSE()</f>
        <v>0</v>
      </c>
      <c r="S341" s="13" t="b">
        <f>FALSE()</f>
        <v>0</v>
      </c>
      <c r="T341" s="16" t="s">
        <v>65</v>
      </c>
      <c r="U341" s="13" t="s">
        <v>2206</v>
      </c>
      <c r="V341" s="13" t="s">
        <v>154</v>
      </c>
      <c r="W341" s="17" t="s">
        <v>67</v>
      </c>
    </row>
  </sheetData>
  <autoFilter ref="A3:W341" xr:uid="{00000000-0009-0000-0000-000001000000}"/>
  <mergeCells count="1">
    <mergeCell ref="A1:W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zoomScaleNormal="100" workbookViewId="0">
      <pane ySplit="3" topLeftCell="A4" activePane="bottomLeft" state="frozen"/>
      <selection pane="bottomLeft"/>
    </sheetView>
  </sheetViews>
  <sheetFormatPr baseColWidth="10" defaultColWidth="8.6640625" defaultRowHeight="15"/>
  <cols>
    <col min="1" max="1" width="42" customWidth="1"/>
    <col min="2" max="2" width="38" customWidth="1"/>
    <col min="3" max="3" width="35" customWidth="1"/>
    <col min="4" max="4" width="55" customWidth="1"/>
  </cols>
  <sheetData>
    <row r="1" spans="1:4" ht="19">
      <c r="A1" s="3" t="s">
        <v>2207</v>
      </c>
      <c r="B1" s="3"/>
      <c r="C1" s="3"/>
      <c r="D1" s="3"/>
    </row>
    <row r="3" spans="1:4" ht="31.5" customHeight="1">
      <c r="A3" s="12" t="s">
        <v>2208</v>
      </c>
      <c r="B3" s="12" t="s">
        <v>2209</v>
      </c>
      <c r="C3" s="12" t="s">
        <v>2210</v>
      </c>
      <c r="D3" s="12" t="s">
        <v>2211</v>
      </c>
    </row>
    <row r="4" spans="1:4" ht="36" customHeight="1">
      <c r="A4" s="26" t="s">
        <v>2212</v>
      </c>
      <c r="B4" s="26" t="s">
        <v>2213</v>
      </c>
      <c r="C4" s="26" t="s">
        <v>2214</v>
      </c>
      <c r="D4" s="26" t="s">
        <v>2215</v>
      </c>
    </row>
    <row r="5" spans="1:4" ht="36" customHeight="1">
      <c r="A5" s="13" t="s">
        <v>2216</v>
      </c>
      <c r="B5" s="13" t="s">
        <v>2217</v>
      </c>
      <c r="C5" s="13" t="s">
        <v>2214</v>
      </c>
      <c r="D5" s="13" t="s">
        <v>2218</v>
      </c>
    </row>
    <row r="6" spans="1:4" ht="36" customHeight="1">
      <c r="A6" s="26" t="s">
        <v>2219</v>
      </c>
      <c r="B6" s="26" t="s">
        <v>2220</v>
      </c>
      <c r="C6" s="26" t="s">
        <v>2221</v>
      </c>
      <c r="D6" s="26" t="s">
        <v>2222</v>
      </c>
    </row>
    <row r="7" spans="1:4" ht="36" customHeight="1">
      <c r="A7" s="13" t="s">
        <v>2223</v>
      </c>
      <c r="B7" s="13" t="s">
        <v>2224</v>
      </c>
      <c r="C7" s="13" t="s">
        <v>2225</v>
      </c>
      <c r="D7" s="13" t="s">
        <v>2226</v>
      </c>
    </row>
    <row r="8" spans="1:4" ht="36" customHeight="1">
      <c r="A8" s="26" t="s">
        <v>2227</v>
      </c>
      <c r="B8" s="26" t="s">
        <v>2228</v>
      </c>
      <c r="C8" s="26" t="s">
        <v>2229</v>
      </c>
      <c r="D8" s="26" t="s">
        <v>2230</v>
      </c>
    </row>
    <row r="9" spans="1:4" ht="36" customHeight="1">
      <c r="A9" s="13" t="s">
        <v>2231</v>
      </c>
      <c r="B9" s="13" t="s">
        <v>2232</v>
      </c>
      <c r="C9" s="13" t="s">
        <v>2233</v>
      </c>
      <c r="D9" s="13" t="s">
        <v>2234</v>
      </c>
    </row>
    <row r="10" spans="1:4" ht="36" customHeight="1">
      <c r="A10" s="26" t="s">
        <v>2235</v>
      </c>
      <c r="B10" s="26" t="s">
        <v>2236</v>
      </c>
      <c r="C10" s="26" t="s">
        <v>2237</v>
      </c>
      <c r="D10" s="26" t="s">
        <v>2238</v>
      </c>
    </row>
    <row r="11" spans="1:4" ht="36" customHeight="1">
      <c r="A11" s="13" t="s">
        <v>2239</v>
      </c>
      <c r="B11" s="13" t="s">
        <v>2240</v>
      </c>
      <c r="C11" s="13" t="s">
        <v>2233</v>
      </c>
      <c r="D11" s="13" t="s">
        <v>2241</v>
      </c>
    </row>
  </sheetData>
  <mergeCells count="1">
    <mergeCell ref="A1:D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7"/>
  <sheetViews>
    <sheetView zoomScaleNormal="100" workbookViewId="0">
      <pane ySplit="5" topLeftCell="A6" activePane="bottomLeft" state="frozen"/>
      <selection pane="bottomLeft"/>
    </sheetView>
  </sheetViews>
  <sheetFormatPr baseColWidth="10" defaultColWidth="8.6640625" defaultRowHeight="15"/>
  <cols>
    <col min="1" max="1" width="22" customWidth="1"/>
    <col min="2" max="2" width="50" customWidth="1"/>
    <col min="3" max="3" width="12" customWidth="1"/>
    <col min="4" max="4" width="55" customWidth="1"/>
  </cols>
  <sheetData>
    <row r="1" spans="1:4" ht="19">
      <c r="A1" s="3" t="s">
        <v>2242</v>
      </c>
      <c r="B1" s="3"/>
      <c r="C1" s="3"/>
      <c r="D1" s="3"/>
    </row>
    <row r="3" spans="1:4" ht="16">
      <c r="A3" s="2" t="s">
        <v>2243</v>
      </c>
      <c r="B3" s="2"/>
      <c r="C3" s="2"/>
      <c r="D3" s="2"/>
    </row>
    <row r="5" spans="1:4" ht="31.5" customHeight="1">
      <c r="A5" s="12" t="s">
        <v>2244</v>
      </c>
      <c r="B5" s="12" t="s">
        <v>2245</v>
      </c>
      <c r="C5" s="12" t="s">
        <v>2246</v>
      </c>
      <c r="D5" s="12" t="s">
        <v>2247</v>
      </c>
    </row>
    <row r="6" spans="1:4" ht="31.5" customHeight="1">
      <c r="A6" s="13" t="s">
        <v>2248</v>
      </c>
      <c r="B6" s="13" t="s">
        <v>2249</v>
      </c>
      <c r="C6" s="27">
        <v>0.95</v>
      </c>
      <c r="D6" s="13" t="s">
        <v>2250</v>
      </c>
    </row>
    <row r="7" spans="1:4" ht="31.5" customHeight="1">
      <c r="A7" s="26" t="s">
        <v>2248</v>
      </c>
      <c r="B7" s="26" t="s">
        <v>2251</v>
      </c>
      <c r="C7" s="28">
        <v>1</v>
      </c>
      <c r="D7" s="26" t="s">
        <v>2252</v>
      </c>
    </row>
    <row r="8" spans="1:4" ht="31.5" customHeight="1">
      <c r="A8" s="13" t="s">
        <v>2248</v>
      </c>
      <c r="B8" s="13" t="s">
        <v>2253</v>
      </c>
      <c r="C8" s="27">
        <v>1.05</v>
      </c>
      <c r="D8" s="13" t="s">
        <v>2254</v>
      </c>
    </row>
    <row r="9" spans="1:4" ht="31.5" customHeight="1">
      <c r="A9" s="26" t="s">
        <v>2248</v>
      </c>
      <c r="B9" s="26" t="s">
        <v>2255</v>
      </c>
      <c r="C9" s="28">
        <v>1.1000000000000001</v>
      </c>
      <c r="D9" s="26" t="s">
        <v>2256</v>
      </c>
    </row>
    <row r="10" spans="1:4" ht="31.5" customHeight="1">
      <c r="A10" s="13" t="s">
        <v>2257</v>
      </c>
      <c r="B10" s="13" t="s">
        <v>2258</v>
      </c>
      <c r="C10" s="27">
        <v>0.95</v>
      </c>
      <c r="D10" s="13" t="s">
        <v>2259</v>
      </c>
    </row>
    <row r="11" spans="1:4" ht="31.5" customHeight="1">
      <c r="A11" s="26" t="s">
        <v>2257</v>
      </c>
      <c r="B11" s="26" t="s">
        <v>2260</v>
      </c>
      <c r="C11" s="28">
        <v>1</v>
      </c>
      <c r="D11" s="26" t="s">
        <v>2261</v>
      </c>
    </row>
    <row r="12" spans="1:4" ht="31.5" customHeight="1">
      <c r="A12" s="13" t="s">
        <v>2257</v>
      </c>
      <c r="B12" s="13" t="s">
        <v>2262</v>
      </c>
      <c r="C12" s="27">
        <v>1.05</v>
      </c>
      <c r="D12" s="13" t="s">
        <v>2263</v>
      </c>
    </row>
    <row r="13" spans="1:4" ht="31.5" customHeight="1">
      <c r="A13" s="26" t="s">
        <v>2264</v>
      </c>
      <c r="B13" s="26" t="s">
        <v>2265</v>
      </c>
      <c r="C13" s="28">
        <v>1.2</v>
      </c>
      <c r="D13" s="26" t="s">
        <v>2266</v>
      </c>
    </row>
    <row r="14" spans="1:4" ht="31.5" customHeight="1">
      <c r="A14" s="13" t="s">
        <v>2264</v>
      </c>
      <c r="B14" s="13" t="s">
        <v>2267</v>
      </c>
      <c r="C14" s="27">
        <v>1</v>
      </c>
      <c r="D14" s="13" t="s">
        <v>2268</v>
      </c>
    </row>
    <row r="16" spans="1:4" ht="16">
      <c r="A16" s="11" t="s">
        <v>2269</v>
      </c>
    </row>
    <row r="17" spans="1:4" ht="54.75" customHeight="1">
      <c r="A17" s="4" t="s">
        <v>2270</v>
      </c>
      <c r="B17" s="4"/>
      <c r="C17" s="4"/>
      <c r="D17" s="4"/>
    </row>
  </sheetData>
  <mergeCells count="3">
    <mergeCell ref="A1:D1"/>
    <mergeCell ref="A3:D3"/>
    <mergeCell ref="A17:D1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
  <sheetViews>
    <sheetView zoomScaleNormal="100" workbookViewId="0">
      <pane ySplit="3" topLeftCell="A4" activePane="bottomLeft" state="frozen"/>
      <selection pane="bottomLeft"/>
    </sheetView>
  </sheetViews>
  <sheetFormatPr baseColWidth="10" defaultColWidth="8.6640625" defaultRowHeight="15"/>
  <cols>
    <col min="1" max="1" width="16" customWidth="1"/>
    <col min="2" max="2" width="50" customWidth="1"/>
    <col min="3" max="3" width="30" customWidth="1"/>
    <col min="4" max="4" width="45" customWidth="1"/>
  </cols>
  <sheetData>
    <row r="1" spans="1:4" ht="19">
      <c r="A1" s="3" t="s">
        <v>2271</v>
      </c>
      <c r="B1" s="3"/>
      <c r="C1" s="3"/>
      <c r="D1" s="3"/>
    </row>
    <row r="3" spans="1:4" ht="31.5" customHeight="1">
      <c r="A3" s="12" t="s">
        <v>2272</v>
      </c>
      <c r="B3" s="12" t="s">
        <v>2273</v>
      </c>
      <c r="C3" s="12" t="s">
        <v>2274</v>
      </c>
      <c r="D3" s="12" t="s">
        <v>2275</v>
      </c>
    </row>
    <row r="4" spans="1:4" ht="49.5" customHeight="1">
      <c r="A4" s="19" t="s">
        <v>96</v>
      </c>
      <c r="B4" s="29" t="s">
        <v>2276</v>
      </c>
      <c r="C4" s="29" t="s">
        <v>2277</v>
      </c>
      <c r="D4" s="29" t="s">
        <v>2278</v>
      </c>
    </row>
    <row r="5" spans="1:4" ht="49.5" customHeight="1">
      <c r="A5" s="21" t="s">
        <v>110</v>
      </c>
      <c r="B5" s="29" t="s">
        <v>2279</v>
      </c>
      <c r="C5" s="29" t="s">
        <v>2280</v>
      </c>
      <c r="D5" s="29" t="s">
        <v>2281</v>
      </c>
    </row>
    <row r="6" spans="1:4" ht="49.5" customHeight="1">
      <c r="A6" s="20" t="s">
        <v>103</v>
      </c>
      <c r="B6" s="29" t="s">
        <v>2282</v>
      </c>
      <c r="C6" s="29" t="s">
        <v>2283</v>
      </c>
      <c r="D6" s="29" t="s">
        <v>2284</v>
      </c>
    </row>
    <row r="7" spans="1:4" ht="49.5" customHeight="1">
      <c r="A7" s="17" t="s">
        <v>67</v>
      </c>
      <c r="B7" s="29" t="s">
        <v>2285</v>
      </c>
      <c r="C7" s="29" t="s">
        <v>2286</v>
      </c>
      <c r="D7" s="29" t="s">
        <v>2287</v>
      </c>
    </row>
    <row r="9" spans="1:4" ht="16">
      <c r="A9" s="11" t="s">
        <v>2288</v>
      </c>
    </row>
    <row r="10" spans="1:4" ht="60" customHeight="1">
      <c r="A10" s="5" t="s">
        <v>2289</v>
      </c>
      <c r="B10" s="5"/>
      <c r="C10" s="5"/>
      <c r="D10" s="5"/>
    </row>
  </sheetData>
  <mergeCells count="2">
    <mergeCell ref="A1:D1"/>
    <mergeCell ref="A10:D1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3"/>
  <sheetViews>
    <sheetView zoomScaleNormal="100" workbookViewId="0"/>
  </sheetViews>
  <sheetFormatPr baseColWidth="10" defaultColWidth="8.6640625" defaultRowHeight="15"/>
  <cols>
    <col min="1" max="1" width="60" customWidth="1"/>
    <col min="2" max="2" width="40" customWidth="1"/>
  </cols>
  <sheetData>
    <row r="1" spans="1:2" ht="19">
      <c r="A1" s="3" t="s">
        <v>2290</v>
      </c>
      <c r="B1" s="3"/>
    </row>
    <row r="3" spans="1:2" ht="21.75" customHeight="1">
      <c r="A3" s="1" t="s">
        <v>2291</v>
      </c>
      <c r="B3" s="1"/>
    </row>
    <row r="4" spans="1:2" ht="117.75" customHeight="1">
      <c r="A4" s="5" t="s">
        <v>2292</v>
      </c>
      <c r="B4" s="5"/>
    </row>
    <row r="6" spans="1:2" ht="21.75" customHeight="1">
      <c r="A6" s="1" t="s">
        <v>2293</v>
      </c>
      <c r="B6" s="1"/>
    </row>
    <row r="7" spans="1:2" ht="60" customHeight="1">
      <c r="A7" s="5" t="s">
        <v>2294</v>
      </c>
      <c r="B7" s="5"/>
    </row>
    <row r="9" spans="1:2" ht="21.75" customHeight="1">
      <c r="A9" s="1" t="s">
        <v>2295</v>
      </c>
      <c r="B9" s="1"/>
    </row>
    <row r="10" spans="1:2" ht="81.75" customHeight="1">
      <c r="A10" s="5" t="s">
        <v>2296</v>
      </c>
      <c r="B10" s="5"/>
    </row>
    <row r="12" spans="1:2" ht="21.75" customHeight="1">
      <c r="A12" s="1" t="s">
        <v>2297</v>
      </c>
      <c r="B12" s="1"/>
    </row>
    <row r="13" spans="1:2" ht="63.75" customHeight="1">
      <c r="A13" s="5" t="s">
        <v>2298</v>
      </c>
      <c r="B13" s="5"/>
    </row>
  </sheetData>
  <mergeCells count="9">
    <mergeCell ref="A9:B9"/>
    <mergeCell ref="A10:B10"/>
    <mergeCell ref="A12:B12"/>
    <mergeCell ref="A13:B13"/>
    <mergeCell ref="A1:B1"/>
    <mergeCell ref="A3:B3"/>
    <mergeCell ref="A4:B4"/>
    <mergeCell ref="A6:B6"/>
    <mergeCell ref="A7:B7"/>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2"/>
  <sheetViews>
    <sheetView zoomScaleNormal="100" workbookViewId="0"/>
  </sheetViews>
  <sheetFormatPr baseColWidth="10" defaultColWidth="8.6640625" defaultRowHeight="15"/>
  <cols>
    <col min="1" max="1" width="22" customWidth="1"/>
    <col min="2" max="2" width="28" customWidth="1"/>
    <col min="3" max="4" width="32" customWidth="1"/>
    <col min="5" max="5" width="36" customWidth="1"/>
  </cols>
  <sheetData>
    <row r="1" spans="1:5" ht="19">
      <c r="A1" s="3" t="s">
        <v>2299</v>
      </c>
      <c r="B1" s="3"/>
      <c r="C1" s="3"/>
      <c r="D1" s="3"/>
      <c r="E1" s="3"/>
    </row>
    <row r="3" spans="1:5" ht="16">
      <c r="A3" s="11" t="s">
        <v>2300</v>
      </c>
    </row>
    <row r="4" spans="1:5" ht="99.75" customHeight="1">
      <c r="A4" s="5" t="s">
        <v>2301</v>
      </c>
      <c r="B4" s="5"/>
      <c r="C4" s="5"/>
      <c r="D4" s="5"/>
      <c r="E4" s="5"/>
    </row>
    <row r="6" spans="1:5" ht="16">
      <c r="A6" s="11" t="s">
        <v>2302</v>
      </c>
    </row>
    <row r="7" spans="1:5" ht="69.75" customHeight="1">
      <c r="A7" s="30" t="s">
        <v>2303</v>
      </c>
      <c r="B7" s="5" t="s">
        <v>2304</v>
      </c>
      <c r="C7" s="5"/>
      <c r="D7" s="5"/>
      <c r="E7" s="5"/>
    </row>
    <row r="8" spans="1:5" ht="69.75" customHeight="1">
      <c r="A8" s="30" t="s">
        <v>2305</v>
      </c>
      <c r="B8" s="5" t="s">
        <v>2306</v>
      </c>
      <c r="C8" s="5"/>
      <c r="D8" s="5"/>
      <c r="E8" s="5"/>
    </row>
    <row r="9" spans="1:5" ht="69.75" customHeight="1">
      <c r="A9" s="30" t="s">
        <v>2307</v>
      </c>
      <c r="B9" s="5" t="s">
        <v>2308</v>
      </c>
      <c r="C9" s="5"/>
      <c r="D9" s="5"/>
      <c r="E9" s="5"/>
    </row>
    <row r="10" spans="1:5" ht="69.75" customHeight="1">
      <c r="A10" s="30" t="s">
        <v>2309</v>
      </c>
      <c r="B10" s="5" t="s">
        <v>2310</v>
      </c>
      <c r="C10" s="5"/>
      <c r="D10" s="5"/>
      <c r="E10" s="5"/>
    </row>
    <row r="11" spans="1:5" ht="69.75" customHeight="1">
      <c r="A11" s="30" t="s">
        <v>2311</v>
      </c>
      <c r="B11" s="5" t="s">
        <v>2312</v>
      </c>
      <c r="C11" s="5"/>
      <c r="D11" s="5"/>
      <c r="E11" s="5"/>
    </row>
    <row r="12" spans="1:5" ht="69.75" customHeight="1">
      <c r="A12" s="30" t="s">
        <v>2313</v>
      </c>
      <c r="B12" s="5" t="s">
        <v>2314</v>
      </c>
      <c r="C12" s="5"/>
      <c r="D12" s="5"/>
      <c r="E12" s="5"/>
    </row>
  </sheetData>
  <mergeCells count="8">
    <mergeCell ref="B10:E10"/>
    <mergeCell ref="B11:E11"/>
    <mergeCell ref="B12:E12"/>
    <mergeCell ref="A1:E1"/>
    <mergeCell ref="A4:E4"/>
    <mergeCell ref="B7:E7"/>
    <mergeCell ref="B8:E8"/>
    <mergeCell ref="B9:E9"/>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3"/>
  <sheetViews>
    <sheetView zoomScaleNormal="100" workbookViewId="0">
      <pane ySplit="3" topLeftCell="A4" activePane="bottomLeft" state="frozen"/>
      <selection pane="bottomLeft"/>
    </sheetView>
  </sheetViews>
  <sheetFormatPr baseColWidth="10" defaultColWidth="8.6640625" defaultRowHeight="15"/>
  <cols>
    <col min="1" max="1" width="22" customWidth="1"/>
    <col min="2" max="2" width="48" customWidth="1"/>
    <col min="3" max="3" width="55" customWidth="1"/>
    <col min="4" max="4" width="35" customWidth="1"/>
  </cols>
  <sheetData>
    <row r="1" spans="1:4" ht="19">
      <c r="A1" s="3" t="s">
        <v>2315</v>
      </c>
      <c r="B1" s="3"/>
      <c r="C1" s="3"/>
      <c r="D1" s="3"/>
    </row>
    <row r="3" spans="1:4" ht="31.5" customHeight="1">
      <c r="A3" s="12" t="s">
        <v>2316</v>
      </c>
      <c r="B3" s="12" t="s">
        <v>2317</v>
      </c>
      <c r="C3" s="12" t="s">
        <v>2318</v>
      </c>
      <c r="D3" s="12" t="s">
        <v>2319</v>
      </c>
    </row>
    <row r="4" spans="1:4" ht="30" customHeight="1">
      <c r="A4" s="31" t="s">
        <v>2320</v>
      </c>
      <c r="B4" s="26" t="s">
        <v>2321</v>
      </c>
      <c r="C4" s="32" t="s">
        <v>1707</v>
      </c>
      <c r="D4" s="26" t="s">
        <v>2322</v>
      </c>
    </row>
    <row r="5" spans="1:4" ht="30" customHeight="1">
      <c r="A5" s="33" t="s">
        <v>2323</v>
      </c>
      <c r="B5" s="13" t="s">
        <v>2324</v>
      </c>
      <c r="C5" s="34" t="s">
        <v>526</v>
      </c>
      <c r="D5" s="13" t="s">
        <v>2325</v>
      </c>
    </row>
    <row r="6" spans="1:4" ht="30" customHeight="1">
      <c r="A6" s="31" t="s">
        <v>2326</v>
      </c>
      <c r="B6" s="26" t="s">
        <v>2327</v>
      </c>
      <c r="C6" s="32" t="s">
        <v>1771</v>
      </c>
      <c r="D6" s="26" t="s">
        <v>2328</v>
      </c>
    </row>
    <row r="7" spans="1:4" ht="30" customHeight="1">
      <c r="A7" s="33" t="s">
        <v>2329</v>
      </c>
      <c r="B7" s="13" t="s">
        <v>2330</v>
      </c>
      <c r="C7" s="34" t="s">
        <v>2331</v>
      </c>
      <c r="D7" s="13" t="s">
        <v>2332</v>
      </c>
    </row>
    <row r="8" spans="1:4" ht="30" customHeight="1">
      <c r="A8" s="31" t="s">
        <v>2333</v>
      </c>
      <c r="B8" s="26" t="s">
        <v>2334</v>
      </c>
      <c r="C8" s="32" t="s">
        <v>2155</v>
      </c>
      <c r="D8" s="26" t="s">
        <v>2335</v>
      </c>
    </row>
    <row r="9" spans="1:4" ht="30" customHeight="1">
      <c r="A9" s="33" t="s">
        <v>2336</v>
      </c>
      <c r="B9" s="13" t="s">
        <v>2337</v>
      </c>
      <c r="C9" s="34" t="s">
        <v>2338</v>
      </c>
      <c r="D9" s="13" t="s">
        <v>2339</v>
      </c>
    </row>
    <row r="10" spans="1:4" ht="30" customHeight="1">
      <c r="A10" s="31" t="s">
        <v>2340</v>
      </c>
      <c r="B10" s="26" t="s">
        <v>2341</v>
      </c>
      <c r="C10" s="32" t="s">
        <v>1802</v>
      </c>
      <c r="D10" s="26" t="s">
        <v>2342</v>
      </c>
    </row>
    <row r="11" spans="1:4" ht="30" customHeight="1">
      <c r="A11" s="33" t="s">
        <v>2343</v>
      </c>
      <c r="B11" s="13" t="s">
        <v>2344</v>
      </c>
      <c r="C11" s="34" t="s">
        <v>280</v>
      </c>
      <c r="D11" s="13" t="s">
        <v>2345</v>
      </c>
    </row>
    <row r="12" spans="1:4" ht="30" customHeight="1">
      <c r="A12" s="31" t="s">
        <v>2346</v>
      </c>
      <c r="B12" s="26" t="s">
        <v>2347</v>
      </c>
      <c r="C12" s="32" t="s">
        <v>1866</v>
      </c>
      <c r="D12" s="26" t="s">
        <v>2348</v>
      </c>
    </row>
    <row r="13" spans="1:4" ht="30" customHeight="1">
      <c r="A13" s="33" t="s">
        <v>2349</v>
      </c>
      <c r="B13" s="13" t="s">
        <v>2350</v>
      </c>
      <c r="C13" s="34" t="s">
        <v>533</v>
      </c>
      <c r="D13" s="13" t="s">
        <v>2351</v>
      </c>
    </row>
    <row r="14" spans="1:4" ht="30" customHeight="1">
      <c r="A14" s="31" t="s">
        <v>2349</v>
      </c>
      <c r="B14" s="26" t="s">
        <v>2352</v>
      </c>
      <c r="C14" s="32" t="s">
        <v>640</v>
      </c>
      <c r="D14" s="26" t="s">
        <v>2353</v>
      </c>
    </row>
    <row r="15" spans="1:4" ht="30" customHeight="1">
      <c r="A15" s="33" t="s">
        <v>2349</v>
      </c>
      <c r="B15" s="13" t="s">
        <v>2354</v>
      </c>
      <c r="C15" s="34" t="s">
        <v>674</v>
      </c>
      <c r="D15" s="13" t="s">
        <v>2355</v>
      </c>
    </row>
    <row r="16" spans="1:4" ht="30" customHeight="1">
      <c r="A16" s="31" t="s">
        <v>2349</v>
      </c>
      <c r="B16" s="26" t="s">
        <v>2356</v>
      </c>
      <c r="C16" s="32" t="s">
        <v>700</v>
      </c>
      <c r="D16" s="26" t="s">
        <v>2357</v>
      </c>
    </row>
    <row r="17" spans="1:4" ht="30" customHeight="1">
      <c r="A17" s="33" t="s">
        <v>2349</v>
      </c>
      <c r="B17" s="13" t="s">
        <v>2358</v>
      </c>
      <c r="C17" s="34" t="s">
        <v>763</v>
      </c>
      <c r="D17" s="13" t="s">
        <v>2359</v>
      </c>
    </row>
    <row r="18" spans="1:4" ht="30" customHeight="1">
      <c r="A18" s="31" t="s">
        <v>2349</v>
      </c>
      <c r="B18" s="26" t="s">
        <v>2360</v>
      </c>
      <c r="C18" s="32" t="s">
        <v>854</v>
      </c>
      <c r="D18" s="26" t="s">
        <v>2361</v>
      </c>
    </row>
    <row r="19" spans="1:4" ht="30" customHeight="1">
      <c r="A19" s="33" t="s">
        <v>2362</v>
      </c>
      <c r="B19" s="13" t="s">
        <v>2363</v>
      </c>
      <c r="C19" s="34" t="s">
        <v>985</v>
      </c>
      <c r="D19" s="13" t="s">
        <v>2364</v>
      </c>
    </row>
    <row r="20" spans="1:4" ht="30" customHeight="1">
      <c r="A20" s="31" t="s">
        <v>2362</v>
      </c>
      <c r="B20" s="26" t="s">
        <v>2365</v>
      </c>
      <c r="C20" s="32" t="s">
        <v>1021</v>
      </c>
      <c r="D20" s="26" t="s">
        <v>2366</v>
      </c>
    </row>
    <row r="21" spans="1:4" ht="30" customHeight="1">
      <c r="A21" s="33" t="s">
        <v>2362</v>
      </c>
      <c r="B21" s="13" t="s">
        <v>2367</v>
      </c>
      <c r="C21" s="34" t="s">
        <v>1074</v>
      </c>
      <c r="D21" s="13" t="s">
        <v>2368</v>
      </c>
    </row>
    <row r="22" spans="1:4" ht="30" customHeight="1">
      <c r="A22" s="31" t="s">
        <v>2362</v>
      </c>
      <c r="B22" s="26" t="s">
        <v>2369</v>
      </c>
      <c r="C22" s="32" t="s">
        <v>2370</v>
      </c>
      <c r="D22" s="26" t="s">
        <v>2371</v>
      </c>
    </row>
    <row r="23" spans="1:4" ht="30" customHeight="1">
      <c r="A23" s="33" t="s">
        <v>2372</v>
      </c>
      <c r="B23" s="13" t="s">
        <v>2373</v>
      </c>
      <c r="C23" s="34" t="s">
        <v>2374</v>
      </c>
      <c r="D23" s="13" t="s">
        <v>2375</v>
      </c>
    </row>
    <row r="24" spans="1:4" ht="30" customHeight="1">
      <c r="A24" s="31" t="s">
        <v>2376</v>
      </c>
      <c r="B24" s="26" t="s">
        <v>2377</v>
      </c>
      <c r="C24" s="32" t="s">
        <v>227</v>
      </c>
      <c r="D24" s="26" t="s">
        <v>2378</v>
      </c>
    </row>
    <row r="25" spans="1:4" ht="30" customHeight="1">
      <c r="A25" s="33" t="s">
        <v>2379</v>
      </c>
      <c r="B25" s="13" t="s">
        <v>2380</v>
      </c>
      <c r="C25" s="34" t="s">
        <v>405</v>
      </c>
      <c r="D25" s="13" t="s">
        <v>2381</v>
      </c>
    </row>
    <row r="26" spans="1:4" ht="30" customHeight="1">
      <c r="A26" s="31" t="s">
        <v>2382</v>
      </c>
      <c r="B26" s="26" t="s">
        <v>2383</v>
      </c>
      <c r="C26" s="32" t="s">
        <v>1543</v>
      </c>
      <c r="D26" s="26" t="s">
        <v>2384</v>
      </c>
    </row>
    <row r="27" spans="1:4" ht="30" customHeight="1">
      <c r="A27" s="33" t="s">
        <v>2385</v>
      </c>
      <c r="B27" s="13" t="s">
        <v>2386</v>
      </c>
      <c r="C27" s="34" t="s">
        <v>1599</v>
      </c>
      <c r="D27" s="13" t="s">
        <v>2387</v>
      </c>
    </row>
    <row r="28" spans="1:4" ht="30" customHeight="1">
      <c r="A28" s="31" t="s">
        <v>2388</v>
      </c>
      <c r="B28" s="26" t="s">
        <v>2389</v>
      </c>
      <c r="C28" s="32" t="s">
        <v>1498</v>
      </c>
      <c r="D28" s="26" t="s">
        <v>2390</v>
      </c>
    </row>
    <row r="29" spans="1:4" ht="30" customHeight="1">
      <c r="A29" s="33" t="s">
        <v>2391</v>
      </c>
      <c r="B29" s="13" t="s">
        <v>2392</v>
      </c>
      <c r="C29" s="34" t="s">
        <v>1625</v>
      </c>
      <c r="D29" s="13" t="s">
        <v>2393</v>
      </c>
    </row>
    <row r="30" spans="1:4" ht="30" customHeight="1">
      <c r="A30" s="31" t="s">
        <v>2394</v>
      </c>
      <c r="B30" s="26" t="s">
        <v>2395</v>
      </c>
      <c r="C30" s="32" t="s">
        <v>1684</v>
      </c>
      <c r="D30" s="26" t="s">
        <v>2396</v>
      </c>
    </row>
    <row r="31" spans="1:4" ht="30" customHeight="1">
      <c r="A31" s="33" t="s">
        <v>2397</v>
      </c>
      <c r="B31" s="13" t="s">
        <v>2398</v>
      </c>
      <c r="C31" s="34" t="s">
        <v>2399</v>
      </c>
      <c r="D31" s="13" t="s">
        <v>2400</v>
      </c>
    </row>
    <row r="32" spans="1:4" ht="30" customHeight="1">
      <c r="A32" s="31" t="s">
        <v>2401</v>
      </c>
      <c r="B32" s="26" t="s">
        <v>2402</v>
      </c>
      <c r="C32" s="32" t="s">
        <v>328</v>
      </c>
      <c r="D32" s="26" t="s">
        <v>2403</v>
      </c>
    </row>
    <row r="33" spans="1:4" ht="30" customHeight="1">
      <c r="A33" s="33" t="s">
        <v>2404</v>
      </c>
      <c r="B33" s="13" t="s">
        <v>2405</v>
      </c>
      <c r="C33" s="34" t="s">
        <v>2406</v>
      </c>
      <c r="D33" s="13" t="s">
        <v>2407</v>
      </c>
    </row>
  </sheetData>
  <mergeCells count="1">
    <mergeCell ref="A1:D1"/>
  </mergeCells>
  <hyperlinks>
    <hyperlink ref="C4" r:id="rId1" xr:uid="{00000000-0004-0000-0700-000000000000}"/>
    <hyperlink ref="C5" r:id="rId2" xr:uid="{00000000-0004-0000-0700-000001000000}"/>
    <hyperlink ref="C6" r:id="rId3" xr:uid="{00000000-0004-0000-0700-000002000000}"/>
    <hyperlink ref="C8" r:id="rId4" xr:uid="{00000000-0004-0000-0700-000003000000}"/>
    <hyperlink ref="C9" r:id="rId5" xr:uid="{00000000-0004-0000-0700-000004000000}"/>
    <hyperlink ref="C10" r:id="rId6" xr:uid="{00000000-0004-0000-0700-000005000000}"/>
    <hyperlink ref="C11" r:id="rId7" xr:uid="{00000000-0004-0000-0700-000006000000}"/>
    <hyperlink ref="C12" r:id="rId8" xr:uid="{00000000-0004-0000-0700-000007000000}"/>
    <hyperlink ref="C13" r:id="rId9" xr:uid="{00000000-0004-0000-0700-000008000000}"/>
    <hyperlink ref="C14" r:id="rId10" xr:uid="{00000000-0004-0000-0700-000009000000}"/>
    <hyperlink ref="C15" r:id="rId11" xr:uid="{00000000-0004-0000-0700-00000A000000}"/>
    <hyperlink ref="C16" r:id="rId12" xr:uid="{00000000-0004-0000-0700-00000B000000}"/>
    <hyperlink ref="C17" r:id="rId13" xr:uid="{00000000-0004-0000-0700-00000C000000}"/>
    <hyperlink ref="C18" r:id="rId14" xr:uid="{00000000-0004-0000-0700-00000D000000}"/>
    <hyperlink ref="C19" r:id="rId15" xr:uid="{00000000-0004-0000-0700-00000E000000}"/>
    <hyperlink ref="C20" r:id="rId16" xr:uid="{00000000-0004-0000-0700-00000F000000}"/>
    <hyperlink ref="C21" r:id="rId17" xr:uid="{00000000-0004-0000-0700-000010000000}"/>
    <hyperlink ref="C22" r:id="rId18" xr:uid="{00000000-0004-0000-0700-000011000000}"/>
    <hyperlink ref="C23" r:id="rId19" xr:uid="{00000000-0004-0000-0700-000012000000}"/>
    <hyperlink ref="C24" r:id="rId20" xr:uid="{00000000-0004-0000-0700-000013000000}"/>
    <hyperlink ref="C25" r:id="rId21" xr:uid="{00000000-0004-0000-0700-000014000000}"/>
    <hyperlink ref="C26" r:id="rId22" xr:uid="{00000000-0004-0000-0700-000015000000}"/>
    <hyperlink ref="C27" r:id="rId23" xr:uid="{00000000-0004-0000-0700-000016000000}"/>
    <hyperlink ref="C28" r:id="rId24" xr:uid="{00000000-0004-0000-0700-000017000000}"/>
    <hyperlink ref="C29" r:id="rId25" xr:uid="{00000000-0004-0000-0700-000018000000}"/>
    <hyperlink ref="C30" r:id="rId26" xr:uid="{00000000-0004-0000-0700-000019000000}"/>
    <hyperlink ref="C31" r:id="rId27" xr:uid="{00000000-0004-0000-0700-00001A000000}"/>
    <hyperlink ref="C32" r:id="rId28" xr:uid="{00000000-0004-0000-0700-00001B000000}"/>
    <hyperlink ref="C33" r:id="rId29" xr:uid="{00000000-0004-0000-0700-00001C000000}"/>
  </hyperlink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3"/>
  <sheetViews>
    <sheetView zoomScaleNormal="100" workbookViewId="0">
      <pane ySplit="3" topLeftCell="A4" activePane="bottomLeft" state="frozen"/>
      <selection pane="bottomLeft"/>
    </sheetView>
  </sheetViews>
  <sheetFormatPr baseColWidth="10" defaultColWidth="8.6640625" defaultRowHeight="15"/>
  <cols>
    <col min="1" max="1" width="6" customWidth="1"/>
    <col min="2" max="2" width="40" customWidth="1"/>
    <col min="3" max="3" width="60" customWidth="1"/>
  </cols>
  <sheetData>
    <row r="1" spans="1:3" ht="19">
      <c r="A1" s="3" t="s">
        <v>2408</v>
      </c>
      <c r="B1" s="3"/>
      <c r="C1" s="3"/>
    </row>
    <row r="3" spans="1:3" ht="31.5" customHeight="1">
      <c r="A3" s="12" t="s">
        <v>2409</v>
      </c>
      <c r="B3" s="12" t="s">
        <v>2410</v>
      </c>
      <c r="C3" s="12" t="s">
        <v>2211</v>
      </c>
    </row>
    <row r="4" spans="1:3" ht="49.5" customHeight="1">
      <c r="A4" s="26" t="s">
        <v>2411</v>
      </c>
      <c r="B4" s="26" t="s">
        <v>2412</v>
      </c>
      <c r="C4" s="26" t="s">
        <v>2413</v>
      </c>
    </row>
    <row r="5" spans="1:3" ht="49.5" customHeight="1">
      <c r="A5" s="13" t="s">
        <v>2414</v>
      </c>
      <c r="B5" s="13" t="s">
        <v>2415</v>
      </c>
      <c r="C5" s="13" t="s">
        <v>2416</v>
      </c>
    </row>
    <row r="6" spans="1:3" ht="49.5" customHeight="1">
      <c r="A6" s="26" t="s">
        <v>2417</v>
      </c>
      <c r="B6" s="26" t="s">
        <v>2418</v>
      </c>
      <c r="C6" s="26" t="s">
        <v>2419</v>
      </c>
    </row>
    <row r="7" spans="1:3" ht="49.5" customHeight="1">
      <c r="A7" s="13" t="s">
        <v>2420</v>
      </c>
      <c r="B7" s="13" t="s">
        <v>2421</v>
      </c>
      <c r="C7" s="13" t="s">
        <v>2422</v>
      </c>
    </row>
    <row r="8" spans="1:3" ht="49.5" customHeight="1">
      <c r="A8" s="26" t="s">
        <v>2423</v>
      </c>
      <c r="B8" s="26" t="s">
        <v>2424</v>
      </c>
      <c r="C8" s="26" t="s">
        <v>2425</v>
      </c>
    </row>
    <row r="9" spans="1:3" ht="49.5" customHeight="1">
      <c r="A9" s="13" t="s">
        <v>2426</v>
      </c>
      <c r="B9" s="13" t="s">
        <v>2427</v>
      </c>
      <c r="C9" s="13" t="s">
        <v>2428</v>
      </c>
    </row>
    <row r="10" spans="1:3" ht="49.5" customHeight="1">
      <c r="A10" s="26" t="s">
        <v>2429</v>
      </c>
      <c r="B10" s="26" t="s">
        <v>2430</v>
      </c>
      <c r="C10" s="26" t="s">
        <v>2431</v>
      </c>
    </row>
    <row r="11" spans="1:3" ht="49.5" customHeight="1">
      <c r="A11" s="13" t="s">
        <v>2432</v>
      </c>
      <c r="B11" s="13" t="s">
        <v>2433</v>
      </c>
      <c r="C11" s="13" t="s">
        <v>2434</v>
      </c>
    </row>
    <row r="12" spans="1:3" ht="49.5" customHeight="1">
      <c r="A12" s="26" t="s">
        <v>2435</v>
      </c>
      <c r="B12" s="26" t="s">
        <v>2436</v>
      </c>
      <c r="C12" s="26" t="s">
        <v>2437</v>
      </c>
    </row>
    <row r="13" spans="1:3" ht="49.5" customHeight="1">
      <c r="A13" s="13" t="s">
        <v>2438</v>
      </c>
      <c r="B13" s="13" t="s">
        <v>2439</v>
      </c>
      <c r="C13" s="13" t="s">
        <v>2440</v>
      </c>
    </row>
  </sheetData>
  <mergeCells count="1">
    <mergeCell ref="A1:C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Feuilles de calcul</vt:lpstr>
      </vt:variant>
      <vt:variant>
        <vt:i4>9</vt:i4>
      </vt:variant>
    </vt:vector>
  </HeadingPairs>
  <TitlesOfParts>
    <vt:vector size="9" baseType="lpstr">
      <vt:lpstr>Sommaire</vt:lpstr>
      <vt:lpstr>Aliments_consolide</vt:lpstr>
      <vt:lpstr>Seuils_cliniques</vt:lpstr>
      <vt:lpstr>Facteurs_algorithme</vt:lpstr>
      <vt:lpstr>Regles_alerte</vt:lpstr>
      <vt:lpstr>Wording_patient</vt:lpstr>
      <vt:lpstr>Methode_limitations</vt:lpstr>
      <vt:lpstr>Sources</vt:lpstr>
      <vt:lpstr>Signaux_majeurs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david perron</cp:lastModifiedBy>
  <cp:revision>0</cp:revision>
  <dcterms:created xsi:type="dcterms:W3CDTF">2026-04-23T10:12:34Z</dcterms:created>
  <dcterms:modified xsi:type="dcterms:W3CDTF">2026-04-23T10:42:17Z</dcterms:modified>
  <dc:language>en-US</dc:language>
</cp:coreProperties>
</file>